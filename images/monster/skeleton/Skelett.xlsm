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micha\Desktop\"/>
    </mc:Choice>
  </mc:AlternateContent>
  <xr:revisionPtr revIDLastSave="0" documentId="13_ncr:1_{DB7FDE8C-7220-4D9D-BEFD-EB1E0153FB4A}" xr6:coauthVersionLast="36" xr6:coauthVersionMax="36" xr10:uidLastSave="{00000000-0000-0000-0000-000000000000}"/>
  <bookViews>
    <workbookView xWindow="0" yWindow="0" windowWidth="16416" windowHeight="5892" activeTab="1" xr2:uid="{F05F6939-6E37-4B07-89E8-99ECF5A78A01}"/>
  </bookViews>
  <sheets>
    <sheet name="Tabelle1" sheetId="1" r:id="rId1"/>
    <sheet name="Tabelle2" sheetId="2" r:id="rId2"/>
    <sheet name="Tabelle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B5" i="2"/>
  <c r="D5" i="2" s="1"/>
  <c r="B4" i="2"/>
  <c r="D4" i="2" s="1"/>
  <c r="D3" i="2"/>
  <c r="B6" i="2"/>
  <c r="D6" i="2" s="1"/>
  <c r="D2" i="2"/>
  <c r="D145" i="2"/>
  <c r="D141" i="2"/>
  <c r="B144" i="2"/>
  <c r="D144" i="2" s="1"/>
  <c r="D140" i="2"/>
  <c r="D139" i="2"/>
  <c r="B138" i="2"/>
  <c r="D138" i="2" s="1"/>
  <c r="B137" i="2"/>
  <c r="D137" i="2" s="1"/>
  <c r="B136" i="2"/>
  <c r="D136" i="2" s="1"/>
  <c r="D135" i="2"/>
  <c r="D134" i="2"/>
  <c r="D133" i="2"/>
  <c r="B132" i="2"/>
  <c r="D132" i="2" s="1"/>
  <c r="B131" i="2"/>
  <c r="D131" i="2" s="1"/>
  <c r="D129" i="2"/>
  <c r="B130" i="2"/>
  <c r="D130" i="2" s="1"/>
  <c r="D128" i="2"/>
  <c r="D127" i="2"/>
  <c r="B124" i="2"/>
  <c r="D124" i="2" s="1"/>
  <c r="D123" i="2"/>
  <c r="B123" i="2"/>
  <c r="B125" i="2" s="1"/>
  <c r="D125" i="2" s="1"/>
  <c r="D122" i="2"/>
  <c r="D121" i="2"/>
  <c r="B120" i="2"/>
  <c r="D120" i="2" s="1"/>
  <c r="B118" i="2"/>
  <c r="D118" i="2" s="1"/>
  <c r="D117" i="2"/>
  <c r="B117" i="2"/>
  <c r="B119" i="2" s="1"/>
  <c r="D119" i="2" s="1"/>
  <c r="D116" i="2"/>
  <c r="D115" i="2"/>
  <c r="D111" i="2"/>
  <c r="D110" i="2"/>
  <c r="D109" i="2"/>
  <c r="B108" i="2"/>
  <c r="D108" i="2" s="1"/>
  <c r="B106" i="2"/>
  <c r="D106" i="2" s="1"/>
  <c r="D105" i="2"/>
  <c r="B107" i="2"/>
  <c r="D107" i="2" s="1"/>
  <c r="D104" i="2"/>
  <c r="D103" i="2"/>
  <c r="D99" i="2"/>
  <c r="D98" i="2"/>
  <c r="D97" i="2"/>
  <c r="D93" i="2"/>
  <c r="D92" i="2"/>
  <c r="D91" i="2"/>
  <c r="D87" i="2"/>
  <c r="B87" i="2"/>
  <c r="D86" i="2"/>
  <c r="D85" i="2"/>
  <c r="D81" i="2"/>
  <c r="D80" i="2"/>
  <c r="D79" i="2"/>
  <c r="D75" i="2"/>
  <c r="D74" i="2"/>
  <c r="D73" i="2"/>
  <c r="B72" i="2"/>
  <c r="D72" i="2" s="1"/>
  <c r="B70" i="2"/>
  <c r="D70" i="2" s="1"/>
  <c r="D69" i="2"/>
  <c r="B71" i="2"/>
  <c r="D71" i="2" s="1"/>
  <c r="D68" i="2"/>
  <c r="D67" i="2"/>
  <c r="B66" i="2"/>
  <c r="D66" i="2" s="1"/>
  <c r="B65" i="2"/>
  <c r="D65" i="2" s="1"/>
  <c r="B64" i="2"/>
  <c r="D64" i="2" s="1"/>
  <c r="D63" i="2"/>
  <c r="B63" i="2"/>
  <c r="D62" i="2"/>
  <c r="D61" i="2"/>
  <c r="B60" i="2"/>
  <c r="D60" i="2" s="1"/>
  <c r="B59" i="2"/>
  <c r="D59" i="2" s="1"/>
  <c r="B58" i="2"/>
  <c r="D58" i="2" s="1"/>
  <c r="D57" i="2"/>
  <c r="D56" i="2"/>
  <c r="D55" i="2"/>
  <c r="B53" i="2"/>
  <c r="D53" i="2" s="1"/>
  <c r="D51" i="2"/>
  <c r="B54" i="2"/>
  <c r="D54" i="2" s="1"/>
  <c r="D50" i="2"/>
  <c r="D49" i="2"/>
  <c r="B48" i="2"/>
  <c r="D48" i="2" s="1"/>
  <c r="B47" i="2"/>
  <c r="D47" i="2" s="1"/>
  <c r="B46" i="2"/>
  <c r="D46" i="2" s="1"/>
  <c r="D45" i="2"/>
  <c r="B45" i="2"/>
  <c r="D44" i="2"/>
  <c r="D43" i="2"/>
  <c r="D39" i="2"/>
  <c r="B39" i="2"/>
  <c r="D38" i="2"/>
  <c r="D37" i="2"/>
  <c r="D33" i="2"/>
  <c r="D32" i="2"/>
  <c r="D31" i="2"/>
  <c r="D27" i="2"/>
  <c r="D26" i="2"/>
  <c r="D25" i="2"/>
  <c r="B22" i="2"/>
  <c r="D22" i="2" s="1"/>
  <c r="D21" i="2"/>
  <c r="B23" i="2"/>
  <c r="D23" i="2" s="1"/>
  <c r="D20" i="2"/>
  <c r="D19" i="2"/>
  <c r="D15" i="2"/>
  <c r="B17" i="2"/>
  <c r="D17" i="2" s="1"/>
  <c r="D14" i="2"/>
  <c r="D13" i="2"/>
  <c r="B12" i="2"/>
  <c r="D12" i="2" s="1"/>
  <c r="B10" i="2"/>
  <c r="D10" i="2" s="1"/>
  <c r="D9" i="2"/>
  <c r="B11" i="2"/>
  <c r="D11" i="2" s="1"/>
  <c r="D8" i="2"/>
  <c r="D152" i="2"/>
  <c r="D153" i="2"/>
  <c r="D157" i="2"/>
  <c r="D158" i="2"/>
  <c r="D159" i="2"/>
  <c r="D163" i="2"/>
  <c r="D164" i="2"/>
  <c r="D165" i="2"/>
  <c r="D169" i="2"/>
  <c r="D170" i="2"/>
  <c r="D171" i="2"/>
  <c r="D175" i="2"/>
  <c r="D176" i="2"/>
  <c r="D177" i="2"/>
  <c r="D181" i="2"/>
  <c r="D182" i="2"/>
  <c r="D183" i="2"/>
  <c r="D187" i="2"/>
  <c r="D188" i="2"/>
  <c r="D189" i="2"/>
  <c r="D193" i="2"/>
  <c r="D194" i="2"/>
  <c r="D195" i="2"/>
  <c r="D199" i="2"/>
  <c r="D200" i="2"/>
  <c r="D201" i="2"/>
  <c r="D205" i="2"/>
  <c r="D206" i="2"/>
  <c r="D207" i="2"/>
  <c r="D211" i="2"/>
  <c r="D212" i="2"/>
  <c r="D213" i="2"/>
  <c r="D217" i="2"/>
  <c r="D218" i="2"/>
  <c r="D219" i="2"/>
  <c r="D223" i="2"/>
  <c r="D224" i="2"/>
  <c r="D225" i="2"/>
  <c r="D229" i="2"/>
  <c r="D230" i="2"/>
  <c r="D231" i="2"/>
  <c r="D235" i="2"/>
  <c r="D236" i="2"/>
  <c r="D237" i="2"/>
  <c r="D241" i="2"/>
  <c r="D242" i="2"/>
  <c r="D243" i="2"/>
  <c r="D247" i="2"/>
  <c r="D248" i="2"/>
  <c r="D249" i="2"/>
  <c r="D253" i="2"/>
  <c r="D254" i="2"/>
  <c r="D255" i="2"/>
  <c r="D259" i="2"/>
  <c r="D260" i="2"/>
  <c r="D261" i="2"/>
  <c r="D265" i="2"/>
  <c r="D266" i="2"/>
  <c r="D267" i="2"/>
  <c r="D271" i="2"/>
  <c r="D272" i="2"/>
  <c r="D273" i="2"/>
  <c r="D277" i="2"/>
  <c r="D278" i="2"/>
  <c r="D279" i="2"/>
  <c r="D283" i="2"/>
  <c r="D284" i="2"/>
  <c r="D285" i="2"/>
  <c r="D289" i="2"/>
  <c r="D290" i="2"/>
  <c r="D291" i="2"/>
  <c r="D295" i="2"/>
  <c r="D296" i="2"/>
  <c r="D297" i="2"/>
  <c r="D301" i="2"/>
  <c r="D302" i="2"/>
  <c r="D303" i="2"/>
  <c r="D307" i="2"/>
  <c r="D308" i="2"/>
  <c r="D309" i="2"/>
  <c r="D313" i="2"/>
  <c r="D314" i="2"/>
  <c r="D315" i="2"/>
  <c r="D319" i="2"/>
  <c r="D320" i="2"/>
  <c r="D321" i="2"/>
  <c r="D325" i="2"/>
  <c r="D326" i="2"/>
  <c r="D327" i="2"/>
  <c r="D331" i="2"/>
  <c r="D332" i="2"/>
  <c r="D333" i="2"/>
  <c r="D337" i="2"/>
  <c r="D338" i="2"/>
  <c r="D339" i="2"/>
  <c r="D343" i="2"/>
  <c r="D344" i="2"/>
  <c r="D345" i="2"/>
  <c r="D349" i="2"/>
  <c r="D350" i="2"/>
  <c r="D351" i="2"/>
  <c r="D355" i="2"/>
  <c r="D356" i="2"/>
  <c r="D357" i="2"/>
  <c r="D361" i="2"/>
  <c r="D362" i="2"/>
  <c r="D363" i="2"/>
  <c r="D367" i="2"/>
  <c r="D368" i="2"/>
  <c r="D369" i="2"/>
  <c r="D373" i="2"/>
  <c r="D374" i="2"/>
  <c r="D375" i="2"/>
  <c r="D379" i="2"/>
  <c r="D380" i="2"/>
  <c r="D381" i="2"/>
  <c r="D385" i="2"/>
  <c r="D386" i="2"/>
  <c r="D387" i="2"/>
  <c r="D391" i="2"/>
  <c r="D392" i="2"/>
  <c r="D393" i="2"/>
  <c r="D397" i="2"/>
  <c r="D398" i="2"/>
  <c r="D399" i="2"/>
  <c r="D403" i="2"/>
  <c r="D404" i="2"/>
  <c r="D405" i="2"/>
  <c r="D409" i="2"/>
  <c r="D410" i="2"/>
  <c r="D411" i="2"/>
  <c r="D415" i="2"/>
  <c r="D416" i="2"/>
  <c r="D417" i="2"/>
  <c r="D421" i="2"/>
  <c r="D422" i="2"/>
  <c r="D423" i="2"/>
  <c r="D427" i="2"/>
  <c r="D428" i="2"/>
  <c r="D429" i="2"/>
  <c r="D433" i="2"/>
  <c r="D434" i="2"/>
  <c r="D435" i="2"/>
  <c r="D439" i="2"/>
  <c r="D440" i="2"/>
  <c r="D441" i="2"/>
  <c r="D445" i="2"/>
  <c r="D446" i="2"/>
  <c r="D447" i="2"/>
  <c r="D451" i="2"/>
  <c r="D452" i="2"/>
  <c r="D453" i="2"/>
  <c r="D457" i="2"/>
  <c r="D458" i="2"/>
  <c r="D459" i="2"/>
  <c r="D463" i="2"/>
  <c r="D464" i="2"/>
  <c r="D465" i="2"/>
  <c r="D469" i="2"/>
  <c r="D470" i="2"/>
  <c r="D471" i="2"/>
  <c r="D475" i="2"/>
  <c r="D476" i="2"/>
  <c r="D477" i="2"/>
  <c r="D481" i="2"/>
  <c r="D482" i="2"/>
  <c r="D483" i="2"/>
  <c r="D487" i="2"/>
  <c r="D488" i="2"/>
  <c r="D489" i="2"/>
  <c r="D493" i="2"/>
  <c r="D494" i="2"/>
  <c r="D495" i="2"/>
  <c r="D499" i="2"/>
  <c r="D500" i="2"/>
  <c r="D501" i="2"/>
  <c r="D505" i="2"/>
  <c r="D506" i="2"/>
  <c r="D507" i="2"/>
  <c r="D511" i="2"/>
  <c r="D512" i="2"/>
  <c r="D513" i="2"/>
  <c r="D517" i="2"/>
  <c r="D518" i="2"/>
  <c r="D519" i="2"/>
  <c r="D523" i="2"/>
  <c r="D524" i="2"/>
  <c r="D525" i="2"/>
  <c r="D529" i="2"/>
  <c r="D530" i="2"/>
  <c r="D531" i="2"/>
  <c r="D535" i="2"/>
  <c r="D536" i="2"/>
  <c r="D537" i="2"/>
  <c r="D541" i="2"/>
  <c r="D542" i="2"/>
  <c r="D543" i="2"/>
  <c r="D547" i="2"/>
  <c r="D548" i="2"/>
  <c r="D549" i="2"/>
  <c r="D553" i="2"/>
  <c r="D554" i="2"/>
  <c r="D555" i="2"/>
  <c r="D559" i="2"/>
  <c r="D560" i="2"/>
  <c r="D561" i="2"/>
  <c r="D565" i="2"/>
  <c r="D566" i="2"/>
  <c r="D567" i="2"/>
  <c r="D571" i="2"/>
  <c r="D572" i="2"/>
  <c r="D573" i="2"/>
  <c r="D577" i="2"/>
  <c r="D578" i="2"/>
  <c r="D579" i="2"/>
  <c r="D583" i="2"/>
  <c r="D584" i="2"/>
  <c r="D585" i="2"/>
  <c r="D589" i="2"/>
  <c r="D590" i="2"/>
  <c r="D591" i="2"/>
  <c r="D595" i="2"/>
  <c r="D596" i="2"/>
  <c r="D597" i="2"/>
  <c r="D601" i="2"/>
  <c r="D602" i="2"/>
  <c r="D603" i="2"/>
  <c r="D607" i="2"/>
  <c r="D608" i="2"/>
  <c r="D609" i="2"/>
  <c r="D613" i="2"/>
  <c r="D614" i="2"/>
  <c r="D615" i="2"/>
  <c r="D619" i="2"/>
  <c r="D620" i="2"/>
  <c r="D621" i="2"/>
  <c r="D625" i="2"/>
  <c r="D626" i="2"/>
  <c r="D627" i="2"/>
  <c r="D631" i="2"/>
  <c r="D632" i="2"/>
  <c r="D633" i="2"/>
  <c r="D637" i="2"/>
  <c r="D638" i="2"/>
  <c r="D639" i="2"/>
  <c r="D643" i="2"/>
  <c r="D644" i="2"/>
  <c r="D645" i="2"/>
  <c r="D649" i="2"/>
  <c r="D650" i="2"/>
  <c r="D651" i="2"/>
  <c r="D655" i="2"/>
  <c r="D656" i="2"/>
  <c r="D657" i="2"/>
  <c r="D661" i="2"/>
  <c r="D662" i="2"/>
  <c r="D663" i="2"/>
  <c r="D667" i="2"/>
  <c r="D668" i="2"/>
  <c r="D669" i="2"/>
  <c r="D673" i="2"/>
  <c r="D674" i="2"/>
  <c r="D675" i="2"/>
  <c r="D679" i="2"/>
  <c r="D680" i="2"/>
  <c r="D681" i="2"/>
  <c r="D685" i="2"/>
  <c r="D686" i="2"/>
  <c r="D687" i="2"/>
  <c r="D691" i="2"/>
  <c r="D692" i="2"/>
  <c r="D693" i="2"/>
  <c r="D697" i="2"/>
  <c r="D698" i="2"/>
  <c r="D699" i="2"/>
  <c r="D703" i="2"/>
  <c r="D704" i="2"/>
  <c r="D705" i="2"/>
  <c r="D709" i="2"/>
  <c r="D710" i="2"/>
  <c r="D711" i="2"/>
  <c r="D715" i="2"/>
  <c r="D716" i="2"/>
  <c r="D717" i="2"/>
  <c r="D721" i="2"/>
  <c r="D722" i="2"/>
  <c r="D723" i="2"/>
  <c r="D727" i="2"/>
  <c r="D728" i="2"/>
  <c r="D729" i="2"/>
  <c r="D733" i="2"/>
  <c r="D734" i="2"/>
  <c r="D735" i="2"/>
  <c r="D739" i="2"/>
  <c r="D740" i="2"/>
  <c r="D741" i="2"/>
  <c r="D745" i="2"/>
  <c r="D746" i="2"/>
  <c r="D747" i="2"/>
  <c r="D751" i="2"/>
  <c r="D752" i="2"/>
  <c r="D753" i="2"/>
  <c r="D757" i="2"/>
  <c r="D758" i="2"/>
  <c r="D759" i="2"/>
  <c r="D763" i="2"/>
  <c r="D764" i="2"/>
  <c r="D765" i="2"/>
  <c r="D769" i="2"/>
  <c r="D770" i="2"/>
  <c r="D771" i="2"/>
  <c r="D775" i="2"/>
  <c r="D776" i="2"/>
  <c r="D777" i="2"/>
  <c r="D781" i="2"/>
  <c r="D782" i="2"/>
  <c r="D783" i="2"/>
  <c r="D787" i="2"/>
  <c r="D788" i="2"/>
  <c r="D789" i="2"/>
  <c r="D793" i="2"/>
  <c r="D794" i="2"/>
  <c r="D795" i="2"/>
  <c r="D799" i="2"/>
  <c r="D800" i="2"/>
  <c r="D801" i="2"/>
  <c r="D805" i="2"/>
  <c r="D806" i="2"/>
  <c r="D807" i="2"/>
  <c r="D811" i="2"/>
  <c r="D812" i="2"/>
  <c r="D813" i="2"/>
  <c r="D817" i="2"/>
  <c r="D818" i="2"/>
  <c r="D819" i="2"/>
  <c r="D823" i="2"/>
  <c r="D824" i="2"/>
  <c r="D825" i="2"/>
  <c r="D829" i="2"/>
  <c r="D830" i="2"/>
  <c r="D831" i="2"/>
  <c r="D835" i="2"/>
  <c r="D836" i="2"/>
  <c r="D837" i="2"/>
  <c r="D841" i="2"/>
  <c r="D842" i="2"/>
  <c r="D843" i="2"/>
  <c r="D847" i="2"/>
  <c r="D848" i="2"/>
  <c r="D849" i="2"/>
  <c r="D853" i="2"/>
  <c r="D854" i="2"/>
  <c r="D855" i="2"/>
  <c r="D859" i="2"/>
  <c r="D860" i="2"/>
  <c r="D861" i="2"/>
  <c r="D865" i="2"/>
  <c r="D866" i="2"/>
  <c r="D867" i="2"/>
  <c r="D871" i="2"/>
  <c r="D872" i="2"/>
  <c r="D873" i="2"/>
  <c r="D877" i="2"/>
  <c r="D878" i="2"/>
  <c r="D879" i="2"/>
  <c r="D883" i="2"/>
  <c r="D884" i="2"/>
  <c r="D885" i="2"/>
  <c r="D889" i="2"/>
  <c r="D890" i="2"/>
  <c r="D891" i="2"/>
  <c r="D895" i="2"/>
  <c r="D896" i="2"/>
  <c r="D897" i="2"/>
  <c r="D901" i="2"/>
  <c r="D902" i="2"/>
  <c r="D903" i="2"/>
  <c r="D907" i="2"/>
  <c r="D908" i="2"/>
  <c r="D909" i="2"/>
  <c r="D913" i="2"/>
  <c r="D914" i="2"/>
  <c r="D915" i="2"/>
  <c r="D919" i="2"/>
  <c r="D920" i="2"/>
  <c r="D921" i="2"/>
  <c r="D925" i="2"/>
  <c r="D926" i="2"/>
  <c r="D927" i="2"/>
  <c r="D931" i="2"/>
  <c r="D932" i="2"/>
  <c r="D933" i="2"/>
  <c r="D937" i="2"/>
  <c r="D938" i="2"/>
  <c r="D939" i="2"/>
  <c r="D943" i="2"/>
  <c r="D944" i="2"/>
  <c r="D945" i="2"/>
  <c r="D949" i="2"/>
  <c r="D950" i="2"/>
  <c r="D951" i="2"/>
  <c r="D955" i="2"/>
  <c r="D956" i="2"/>
  <c r="D957" i="2"/>
  <c r="D961" i="2"/>
  <c r="D962" i="2"/>
  <c r="D963" i="2"/>
  <c r="D967" i="2"/>
  <c r="D968" i="2"/>
  <c r="D969" i="2"/>
  <c r="D973" i="2"/>
  <c r="D974" i="2"/>
  <c r="D975" i="2"/>
  <c r="D979" i="2"/>
  <c r="D980" i="2"/>
  <c r="D981" i="2"/>
  <c r="D985" i="2"/>
  <c r="D986" i="2"/>
  <c r="D987" i="2"/>
  <c r="D991" i="2"/>
  <c r="D992" i="2"/>
  <c r="D993" i="2"/>
  <c r="D997" i="2"/>
  <c r="D998" i="2"/>
  <c r="D999" i="2"/>
  <c r="D1003" i="2"/>
  <c r="D1004" i="2"/>
  <c r="D1005" i="2"/>
  <c r="D1009" i="2"/>
  <c r="D1010" i="2"/>
  <c r="D1011" i="2"/>
  <c r="D1015" i="2"/>
  <c r="D1016" i="2"/>
  <c r="D1017" i="2"/>
  <c r="D1021" i="2"/>
  <c r="D1022" i="2"/>
  <c r="D1023" i="2"/>
  <c r="D1027" i="2"/>
  <c r="D1028" i="2"/>
  <c r="D1029" i="2"/>
  <c r="D1033" i="2"/>
  <c r="D1034" i="2"/>
  <c r="D1035" i="2"/>
  <c r="D1039" i="2"/>
  <c r="D1040" i="2"/>
  <c r="D1041" i="2"/>
  <c r="D1045" i="2"/>
  <c r="D1046" i="2"/>
  <c r="D1047" i="2"/>
  <c r="D1051" i="2"/>
  <c r="D1052" i="2"/>
  <c r="D1053" i="2"/>
  <c r="D1057" i="2"/>
  <c r="D1058" i="2"/>
  <c r="D1059" i="2"/>
  <c r="D1063" i="2"/>
  <c r="D1064" i="2"/>
  <c r="D1065" i="2"/>
  <c r="D1069" i="2"/>
  <c r="D1070" i="2"/>
  <c r="D1071" i="2"/>
  <c r="D1075" i="2"/>
  <c r="D1076" i="2"/>
  <c r="D1077" i="2"/>
  <c r="D1081" i="2"/>
  <c r="D1082" i="2"/>
  <c r="D1083" i="2"/>
  <c r="D1087" i="2"/>
  <c r="D1088" i="2"/>
  <c r="D1089" i="2"/>
  <c r="D1093" i="2"/>
  <c r="D1094" i="2"/>
  <c r="D1095" i="2"/>
  <c r="D1099" i="2"/>
  <c r="D1100" i="2"/>
  <c r="D1101" i="2"/>
  <c r="D1105" i="2"/>
  <c r="D1106" i="2"/>
  <c r="D1107" i="2"/>
  <c r="D1111" i="2"/>
  <c r="D1112" i="2"/>
  <c r="D1113" i="2"/>
  <c r="D1117" i="2"/>
  <c r="D1118" i="2"/>
  <c r="D1119" i="2"/>
  <c r="D1123" i="2"/>
  <c r="D1124" i="2"/>
  <c r="D1125" i="2"/>
  <c r="D1129" i="2"/>
  <c r="D1130" i="2"/>
  <c r="D1131" i="2"/>
  <c r="D1135" i="2"/>
  <c r="D1136" i="2"/>
  <c r="D1137" i="2"/>
  <c r="D1141" i="2"/>
  <c r="D1142" i="2"/>
  <c r="D1143" i="2"/>
  <c r="D1147" i="2"/>
  <c r="D1148" i="2"/>
  <c r="D1149" i="2"/>
  <c r="D1153" i="2"/>
  <c r="D1154" i="2"/>
  <c r="D1155" i="2"/>
  <c r="D1159" i="2"/>
  <c r="D1160" i="2"/>
  <c r="D1161" i="2"/>
  <c r="D1165" i="2"/>
  <c r="D1166" i="2"/>
  <c r="D1167" i="2"/>
  <c r="D1171" i="2"/>
  <c r="D1172" i="2"/>
  <c r="D1173" i="2"/>
  <c r="D1177" i="2"/>
  <c r="D1178" i="2"/>
  <c r="D1179" i="2"/>
  <c r="D1183" i="2"/>
  <c r="D1184" i="2"/>
  <c r="D1185" i="2"/>
  <c r="D1189" i="2"/>
  <c r="D1190" i="2"/>
  <c r="D1191" i="2"/>
  <c r="D1195" i="2"/>
  <c r="D1196" i="2"/>
  <c r="D1197" i="2"/>
  <c r="D1201" i="2"/>
  <c r="D1202" i="2"/>
  <c r="D1203" i="2"/>
  <c r="D1207" i="2"/>
  <c r="D1208" i="2"/>
  <c r="D1209" i="2"/>
  <c r="D1213" i="2"/>
  <c r="D1214" i="2"/>
  <c r="D1215" i="2"/>
  <c r="D1219" i="2"/>
  <c r="D1220" i="2"/>
  <c r="D1221" i="2"/>
  <c r="D1225" i="2"/>
  <c r="D1226" i="2"/>
  <c r="D1227" i="2"/>
  <c r="D1231" i="2"/>
  <c r="D1232" i="2"/>
  <c r="D1233" i="2"/>
  <c r="D1237" i="2"/>
  <c r="D1238" i="2"/>
  <c r="D1239" i="2"/>
  <c r="D1243" i="2"/>
  <c r="D1244" i="2"/>
  <c r="D1245" i="2"/>
  <c r="D1249" i="2"/>
  <c r="D1250" i="2"/>
  <c r="D1251" i="2"/>
  <c r="D1255" i="2"/>
  <c r="D1256" i="2"/>
  <c r="D1257" i="2"/>
  <c r="D1261" i="2"/>
  <c r="D1262" i="2"/>
  <c r="D1263" i="2"/>
  <c r="D1267" i="2"/>
  <c r="D1268" i="2"/>
  <c r="D1269" i="2"/>
  <c r="D1273" i="2"/>
  <c r="D1274" i="2"/>
  <c r="D1275" i="2"/>
  <c r="D1279" i="2"/>
  <c r="D1280" i="2"/>
  <c r="D1281" i="2"/>
  <c r="D1285" i="2"/>
  <c r="D1286" i="2"/>
  <c r="D1287" i="2"/>
  <c r="D1291" i="2"/>
  <c r="D1292" i="2"/>
  <c r="D1293" i="2"/>
  <c r="D1297" i="2"/>
  <c r="D1298" i="2"/>
  <c r="D1299" i="2"/>
  <c r="D1303" i="2"/>
  <c r="D1304" i="2"/>
  <c r="D1305" i="2"/>
  <c r="D1309" i="2"/>
  <c r="D1310" i="2"/>
  <c r="D1311" i="2"/>
  <c r="D1315" i="2"/>
  <c r="D1316" i="2"/>
  <c r="D1317" i="2"/>
  <c r="D1321" i="2"/>
  <c r="D1322" i="2"/>
  <c r="D1323" i="2"/>
  <c r="D1327" i="2"/>
  <c r="D1328" i="2"/>
  <c r="D1329" i="2"/>
  <c r="D1333" i="2"/>
  <c r="D1334" i="2"/>
  <c r="D1335" i="2"/>
  <c r="D1339" i="2"/>
  <c r="D1340" i="2"/>
  <c r="D1341" i="2"/>
  <c r="D1345" i="2"/>
  <c r="D1346" i="2"/>
  <c r="D1347" i="2"/>
  <c r="D1351" i="2"/>
  <c r="D1352" i="2"/>
  <c r="D1353" i="2"/>
  <c r="D1357" i="2"/>
  <c r="D1358" i="2"/>
  <c r="D1359" i="2"/>
  <c r="D1363" i="2"/>
  <c r="D1364" i="2"/>
  <c r="D1365" i="2"/>
  <c r="D1369" i="2"/>
  <c r="D1370" i="2"/>
  <c r="D1371" i="2"/>
  <c r="D1375" i="2"/>
  <c r="D1376" i="2"/>
  <c r="D1377" i="2"/>
  <c r="D1381" i="2"/>
  <c r="D1382" i="2"/>
  <c r="D1383" i="2"/>
  <c r="D1387" i="2"/>
  <c r="D1388" i="2"/>
  <c r="D1389" i="2"/>
  <c r="D1393" i="2"/>
  <c r="D1394" i="2"/>
  <c r="D1395" i="2"/>
  <c r="D1399" i="2"/>
  <c r="D1400" i="2"/>
  <c r="D1401" i="2"/>
  <c r="D1405" i="2"/>
  <c r="D1406" i="2"/>
  <c r="D1407" i="2"/>
  <c r="D1411" i="2"/>
  <c r="D1412" i="2"/>
  <c r="D1413" i="2"/>
  <c r="D1417" i="2"/>
  <c r="D1418" i="2"/>
  <c r="D1419" i="2"/>
  <c r="D1423" i="2"/>
  <c r="D1424" i="2"/>
  <c r="D1425" i="2"/>
  <c r="D1429" i="2"/>
  <c r="D1430" i="2"/>
  <c r="D1431" i="2"/>
  <c r="D1435" i="2"/>
  <c r="D1436" i="2"/>
  <c r="D1437" i="2"/>
  <c r="D1441" i="2"/>
  <c r="D1442" i="2"/>
  <c r="D1443" i="2"/>
  <c r="D1447" i="2"/>
  <c r="D1448" i="2"/>
  <c r="D1449" i="2"/>
  <c r="D1453" i="2"/>
  <c r="D1454" i="2"/>
  <c r="D1455" i="2"/>
  <c r="D1459" i="2"/>
  <c r="D1460" i="2"/>
  <c r="D1461" i="2"/>
  <c r="D1465" i="2"/>
  <c r="D1466" i="2"/>
  <c r="D1467" i="2"/>
  <c r="D1471" i="2"/>
  <c r="D1472" i="2"/>
  <c r="D1473" i="2"/>
  <c r="D1477" i="2"/>
  <c r="D1478" i="2"/>
  <c r="D1479" i="2"/>
  <c r="D1483" i="2"/>
  <c r="D1484" i="2"/>
  <c r="D1485" i="2"/>
  <c r="D1489" i="2"/>
  <c r="D1490" i="2"/>
  <c r="D1491" i="2"/>
  <c r="D1495" i="2"/>
  <c r="D1496" i="2"/>
  <c r="D1497" i="2"/>
  <c r="D1501" i="2"/>
  <c r="D1502" i="2"/>
  <c r="D1503" i="2"/>
  <c r="D1507" i="2"/>
  <c r="D1508" i="2"/>
  <c r="D1509" i="2"/>
  <c r="D1513" i="2"/>
  <c r="D1514" i="2"/>
  <c r="D1515" i="2"/>
  <c r="D1519" i="2"/>
  <c r="D1520" i="2"/>
  <c r="D1521" i="2"/>
  <c r="D1525" i="2"/>
  <c r="D1526" i="2"/>
  <c r="D1527" i="2"/>
  <c r="D1531" i="2"/>
  <c r="D1532" i="2"/>
  <c r="D1533" i="2"/>
  <c r="D1537" i="2"/>
  <c r="D1538" i="2"/>
  <c r="D1539" i="2"/>
  <c r="D1543" i="2"/>
  <c r="D1544" i="2"/>
  <c r="D1545" i="2"/>
  <c r="D1549" i="2"/>
  <c r="D1550" i="2"/>
  <c r="D1551" i="2"/>
  <c r="D1555" i="2"/>
  <c r="D1556" i="2"/>
  <c r="D1557" i="2"/>
  <c r="D1561" i="2"/>
  <c r="D1562" i="2"/>
  <c r="D1563" i="2"/>
  <c r="D1567" i="2"/>
  <c r="D1568" i="2"/>
  <c r="D1569" i="2"/>
  <c r="D1573" i="2"/>
  <c r="D1574" i="2"/>
  <c r="D1575" i="2"/>
  <c r="D1579" i="2"/>
  <c r="D1580" i="2"/>
  <c r="D1581" i="2"/>
  <c r="D1585" i="2"/>
  <c r="D1586" i="2"/>
  <c r="D1587" i="2"/>
  <c r="D1591" i="2"/>
  <c r="D1592" i="2"/>
  <c r="D1593" i="2"/>
  <c r="D1597" i="2"/>
  <c r="D1598" i="2"/>
  <c r="D1599" i="2"/>
  <c r="D1603" i="2"/>
  <c r="D1604" i="2"/>
  <c r="D1605" i="2"/>
  <c r="D1609" i="2"/>
  <c r="D1610" i="2"/>
  <c r="D1611" i="2"/>
  <c r="D1615" i="2"/>
  <c r="D1616" i="2"/>
  <c r="D1617" i="2"/>
  <c r="D1621" i="2"/>
  <c r="D1622" i="2"/>
  <c r="D1623" i="2"/>
  <c r="D1627" i="2"/>
  <c r="D1628" i="2"/>
  <c r="D1629" i="2"/>
  <c r="D1633" i="2"/>
  <c r="D1634" i="2"/>
  <c r="D1635" i="2"/>
  <c r="D1639" i="2"/>
  <c r="D1640" i="2"/>
  <c r="D1641" i="2"/>
  <c r="D1645" i="2"/>
  <c r="D1646" i="2"/>
  <c r="D1647" i="2"/>
  <c r="D1651" i="2"/>
  <c r="D1652" i="2"/>
  <c r="D1653" i="2"/>
  <c r="D1657" i="2"/>
  <c r="D1658" i="2"/>
  <c r="D1659" i="2"/>
  <c r="D1663" i="2"/>
  <c r="D1664" i="2"/>
  <c r="D1665" i="2"/>
  <c r="D1669" i="2"/>
  <c r="D1670" i="2"/>
  <c r="D1671" i="2"/>
  <c r="D1675" i="2"/>
  <c r="D1676" i="2"/>
  <c r="D1677" i="2"/>
  <c r="D1681" i="2"/>
  <c r="D1682" i="2"/>
  <c r="D1683" i="2"/>
  <c r="D1687" i="2"/>
  <c r="D1688" i="2"/>
  <c r="D1689" i="2"/>
  <c r="D1693" i="2"/>
  <c r="D1694" i="2"/>
  <c r="D1695" i="2"/>
  <c r="D1699" i="2"/>
  <c r="D1700" i="2"/>
  <c r="D1701" i="2"/>
  <c r="D1705" i="2"/>
  <c r="D1706" i="2"/>
  <c r="D1707" i="2"/>
  <c r="D1711" i="2"/>
  <c r="D1712" i="2"/>
  <c r="D1713" i="2"/>
  <c r="D1717" i="2"/>
  <c r="D1718" i="2"/>
  <c r="D1719" i="2"/>
  <c r="D1723" i="2"/>
  <c r="D1724" i="2"/>
  <c r="D1725" i="2"/>
  <c r="D1729" i="2"/>
  <c r="D1730" i="2"/>
  <c r="D1731" i="2"/>
  <c r="D1735" i="2"/>
  <c r="D1736" i="2"/>
  <c r="D1737" i="2"/>
  <c r="D1741" i="2"/>
  <c r="D1742" i="2"/>
  <c r="D1743" i="2"/>
  <c r="D1747" i="2"/>
  <c r="D1748" i="2"/>
  <c r="D1749" i="2"/>
  <c r="D1753" i="2"/>
  <c r="D1754" i="2"/>
  <c r="D1755" i="2"/>
  <c r="D1759" i="2"/>
  <c r="D1760" i="2"/>
  <c r="D1761" i="2"/>
  <c r="D1765" i="2"/>
  <c r="D1766" i="2"/>
  <c r="D1767" i="2"/>
  <c r="D1771" i="2"/>
  <c r="D1772" i="2"/>
  <c r="D1773" i="2"/>
  <c r="D1777" i="2"/>
  <c r="D1778" i="2"/>
  <c r="D1779" i="2"/>
  <c r="D1783" i="2"/>
  <c r="D1784" i="2"/>
  <c r="D1785" i="2"/>
  <c r="D1789" i="2"/>
  <c r="D1790" i="2"/>
  <c r="D1791" i="2"/>
  <c r="D1795" i="2"/>
  <c r="D1796" i="2"/>
  <c r="D1797" i="2"/>
  <c r="D1801" i="2"/>
  <c r="D1802" i="2"/>
  <c r="D1803" i="2"/>
  <c r="D1807" i="2"/>
  <c r="D1808" i="2"/>
  <c r="D1809" i="2"/>
  <c r="D1813" i="2"/>
  <c r="D1814" i="2"/>
  <c r="D1815" i="2"/>
  <c r="D1819" i="2"/>
  <c r="D1820" i="2"/>
  <c r="D1821" i="2"/>
  <c r="D1825" i="2"/>
  <c r="D1826" i="2"/>
  <c r="D1827" i="2"/>
  <c r="D1831" i="2"/>
  <c r="D1832" i="2"/>
  <c r="D1833" i="2"/>
  <c r="D1837" i="2"/>
  <c r="D1838" i="2"/>
  <c r="D1839" i="2"/>
  <c r="D1843" i="2"/>
  <c r="D1844" i="2"/>
  <c r="D1845" i="2"/>
  <c r="D1849" i="2"/>
  <c r="D1850" i="2"/>
  <c r="D1851" i="2"/>
  <c r="D1855" i="2"/>
  <c r="D1856" i="2"/>
  <c r="D1857" i="2"/>
  <c r="D1861" i="2"/>
  <c r="D1862" i="2"/>
  <c r="D1863" i="2"/>
  <c r="D1867" i="2"/>
  <c r="D1868" i="2"/>
  <c r="D1869" i="2"/>
  <c r="D1873" i="2"/>
  <c r="D1874" i="2"/>
  <c r="D1875" i="2"/>
  <c r="D1879" i="2"/>
  <c r="D1880" i="2"/>
  <c r="D1881" i="2"/>
  <c r="D1885" i="2"/>
  <c r="D1886" i="2"/>
  <c r="D1887" i="2"/>
  <c r="D1891" i="2"/>
  <c r="D1892" i="2"/>
  <c r="D1893" i="2"/>
  <c r="D1897" i="2"/>
  <c r="D1898" i="2"/>
  <c r="D1899" i="2"/>
  <c r="D1903" i="2"/>
  <c r="D1904" i="2"/>
  <c r="D1905" i="2"/>
  <c r="D1909" i="2"/>
  <c r="D1910" i="2"/>
  <c r="D1911" i="2"/>
  <c r="D1915" i="2"/>
  <c r="D1916" i="2"/>
  <c r="D1917" i="2"/>
  <c r="D1921" i="2"/>
  <c r="D1922" i="2"/>
  <c r="D1923" i="2"/>
  <c r="D1927" i="2"/>
  <c r="D1928" i="2"/>
  <c r="D1929" i="2"/>
  <c r="D1933" i="2"/>
  <c r="D1934" i="2"/>
  <c r="D1935" i="2"/>
  <c r="D1939" i="2"/>
  <c r="D1940" i="2"/>
  <c r="D1941" i="2"/>
  <c r="D1945" i="2"/>
  <c r="D1946" i="2"/>
  <c r="D1947" i="2"/>
  <c r="D1951" i="2"/>
  <c r="D1952" i="2"/>
  <c r="D1953" i="2"/>
  <c r="D1957" i="2"/>
  <c r="D1958" i="2"/>
  <c r="D1959" i="2"/>
  <c r="D1963" i="2"/>
  <c r="D1964" i="2"/>
  <c r="D1965" i="2"/>
  <c r="D1969" i="2"/>
  <c r="D1970" i="2"/>
  <c r="D1971" i="2"/>
  <c r="D1975" i="2"/>
  <c r="D1976" i="2"/>
  <c r="D1977" i="2"/>
  <c r="D1981" i="2"/>
  <c r="D1982" i="2"/>
  <c r="D1983" i="2"/>
  <c r="D1987" i="2"/>
  <c r="D1988" i="2"/>
  <c r="D1989" i="2"/>
  <c r="D1993" i="2"/>
  <c r="D1994" i="2"/>
  <c r="D1995" i="2"/>
  <c r="D1999" i="2"/>
  <c r="D2000" i="2"/>
  <c r="D2001" i="2"/>
  <c r="D2005" i="2"/>
  <c r="D2006" i="2"/>
  <c r="D2007" i="2"/>
  <c r="D2011" i="2"/>
  <c r="D2012" i="2"/>
  <c r="D2013" i="2"/>
  <c r="D2017" i="2"/>
  <c r="D2018" i="2"/>
  <c r="D2019" i="2"/>
  <c r="D2023" i="2"/>
  <c r="D2024" i="2"/>
  <c r="D2025" i="2"/>
  <c r="D2029" i="2"/>
  <c r="D2030" i="2"/>
  <c r="D2031" i="2"/>
  <c r="D2035" i="2"/>
  <c r="D2036" i="2"/>
  <c r="D2037" i="2"/>
  <c r="D2041" i="2"/>
  <c r="D2042" i="2"/>
  <c r="D2043" i="2"/>
  <c r="D2047" i="2"/>
  <c r="D2048" i="2"/>
  <c r="D2049" i="2"/>
  <c r="D2053" i="2"/>
  <c r="D2054" i="2"/>
  <c r="D2055" i="2"/>
  <c r="D2059" i="2"/>
  <c r="D2060" i="2"/>
  <c r="D2061" i="2"/>
  <c r="D2065" i="2"/>
  <c r="D2066" i="2"/>
  <c r="D2067" i="2"/>
  <c r="D2071" i="2"/>
  <c r="D2072" i="2"/>
  <c r="D2073" i="2"/>
  <c r="D2077" i="2"/>
  <c r="D2078" i="2"/>
  <c r="D2079" i="2"/>
  <c r="D2083" i="2"/>
  <c r="D2084" i="2"/>
  <c r="D2085" i="2"/>
  <c r="D2089" i="2"/>
  <c r="D2090" i="2"/>
  <c r="D2091" i="2"/>
  <c r="D2095" i="2"/>
  <c r="D2096" i="2"/>
  <c r="D2097" i="2"/>
  <c r="D2101" i="2"/>
  <c r="D2102" i="2"/>
  <c r="D2103" i="2"/>
  <c r="D2107" i="2"/>
  <c r="D2108" i="2"/>
  <c r="D2109" i="2"/>
  <c r="D2113" i="2"/>
  <c r="D2114" i="2"/>
  <c r="D2115" i="2"/>
  <c r="D2119" i="2"/>
  <c r="D2120" i="2"/>
  <c r="D2121" i="2"/>
  <c r="D2125" i="2"/>
  <c r="D2126" i="2"/>
  <c r="D2127" i="2"/>
  <c r="D2131" i="2"/>
  <c r="D2132" i="2"/>
  <c r="D2133" i="2"/>
  <c r="D2137" i="2"/>
  <c r="D2138" i="2"/>
  <c r="D2139" i="2"/>
  <c r="D2143" i="2"/>
  <c r="D2144" i="2"/>
  <c r="D2145" i="2"/>
  <c r="D2149" i="2"/>
  <c r="D2150" i="2"/>
  <c r="D2151" i="2"/>
  <c r="D2155" i="2"/>
  <c r="D2156" i="2"/>
  <c r="D2157" i="2"/>
  <c r="D2161" i="2"/>
  <c r="D2162" i="2"/>
  <c r="D2163" i="2"/>
  <c r="D2167" i="2"/>
  <c r="D2168" i="2"/>
  <c r="D2169" i="2"/>
  <c r="D2173" i="2"/>
  <c r="D2174" i="2"/>
  <c r="D2175" i="2"/>
  <c r="D2179" i="2"/>
  <c r="D2180" i="2"/>
  <c r="D2181" i="2"/>
  <c r="D2185" i="2"/>
  <c r="D2186" i="2"/>
  <c r="D2187" i="2"/>
  <c r="D2191" i="2"/>
  <c r="D2192" i="2"/>
  <c r="D2193" i="2"/>
  <c r="D2197" i="2"/>
  <c r="D2198" i="2"/>
  <c r="D2199" i="2"/>
  <c r="D2203" i="2"/>
  <c r="D2204" i="2"/>
  <c r="D2205" i="2"/>
  <c r="D2209" i="2"/>
  <c r="D2210" i="2"/>
  <c r="D2211" i="2"/>
  <c r="D2215" i="2"/>
  <c r="D2216" i="2"/>
  <c r="D2217" i="2"/>
  <c r="D2221" i="2"/>
  <c r="D2222" i="2"/>
  <c r="D2223" i="2"/>
  <c r="D2227" i="2"/>
  <c r="D2228" i="2"/>
  <c r="D2229" i="2"/>
  <c r="D2233" i="2"/>
  <c r="D2234" i="2"/>
  <c r="D2235" i="2"/>
  <c r="D2239" i="2"/>
  <c r="D2240" i="2"/>
  <c r="D2241" i="2"/>
  <c r="D2245" i="2"/>
  <c r="D2246" i="2"/>
  <c r="D2247" i="2"/>
  <c r="D2251" i="2"/>
  <c r="D2252" i="2"/>
  <c r="D2253" i="2"/>
  <c r="D2257" i="2"/>
  <c r="D2258" i="2"/>
  <c r="D2259" i="2"/>
  <c r="D2263" i="2"/>
  <c r="D2264" i="2"/>
  <c r="D2265" i="2"/>
  <c r="D2269" i="2"/>
  <c r="D2270" i="2"/>
  <c r="D2271" i="2"/>
  <c r="D2275" i="2"/>
  <c r="D2276" i="2"/>
  <c r="D2277" i="2"/>
  <c r="D2281" i="2"/>
  <c r="D2282" i="2"/>
  <c r="D2283" i="2"/>
  <c r="D2287" i="2"/>
  <c r="D2288" i="2"/>
  <c r="D2289" i="2"/>
  <c r="D2293" i="2"/>
  <c r="D2294" i="2"/>
  <c r="D2295" i="2"/>
  <c r="D2299" i="2"/>
  <c r="D2300" i="2"/>
  <c r="D2301" i="2"/>
  <c r="D2305" i="2"/>
  <c r="D2306" i="2"/>
  <c r="D2307" i="2"/>
  <c r="D2311" i="2"/>
  <c r="D2312" i="2"/>
  <c r="D2313" i="2"/>
  <c r="D2317" i="2"/>
  <c r="D2318" i="2"/>
  <c r="D2319" i="2"/>
  <c r="D2323" i="2"/>
  <c r="D2324" i="2"/>
  <c r="D2325" i="2"/>
  <c r="D2329" i="2"/>
  <c r="D2330" i="2"/>
  <c r="D2331" i="2"/>
  <c r="D2335" i="2"/>
  <c r="D2336" i="2"/>
  <c r="D2337" i="2"/>
  <c r="D2341" i="2"/>
  <c r="D2342" i="2"/>
  <c r="D2343" i="2"/>
  <c r="D2347" i="2"/>
  <c r="D2348" i="2"/>
  <c r="D2349" i="2"/>
  <c r="D2353" i="2"/>
  <c r="D2354" i="2"/>
  <c r="D2355" i="2"/>
  <c r="D2359" i="2"/>
  <c r="D2360" i="2"/>
  <c r="D2361" i="2"/>
  <c r="D2365" i="2"/>
  <c r="D2366" i="2"/>
  <c r="D2367" i="2"/>
  <c r="D2371" i="2"/>
  <c r="D2372" i="2"/>
  <c r="D2373" i="2"/>
  <c r="D2377" i="2"/>
  <c r="D2378" i="2"/>
  <c r="D2379" i="2"/>
  <c r="D2383" i="2"/>
  <c r="D2384" i="2"/>
  <c r="D2385" i="2"/>
  <c r="D2389" i="2"/>
  <c r="D2390" i="2"/>
  <c r="D2391" i="2"/>
  <c r="D2395" i="2"/>
  <c r="D2396" i="2"/>
  <c r="D2397" i="2"/>
  <c r="D2401" i="2"/>
  <c r="D2402" i="2"/>
  <c r="D2403" i="2"/>
  <c r="D2407" i="2"/>
  <c r="D2408" i="2"/>
  <c r="D2409" i="2"/>
  <c r="D2413" i="2"/>
  <c r="D2414" i="2"/>
  <c r="D2415" i="2"/>
  <c r="D2419" i="2"/>
  <c r="D2420" i="2"/>
  <c r="D2421" i="2"/>
  <c r="D2425" i="2"/>
  <c r="D2426" i="2"/>
  <c r="D2427" i="2"/>
  <c r="D2431" i="2"/>
  <c r="D2432" i="2"/>
  <c r="D2433" i="2"/>
  <c r="D2437" i="2"/>
  <c r="D2438" i="2"/>
  <c r="D2439" i="2"/>
  <c r="D2443" i="2"/>
  <c r="D2444" i="2"/>
  <c r="D2445" i="2"/>
  <c r="D2449" i="2"/>
  <c r="D2450" i="2"/>
  <c r="D2451" i="2"/>
  <c r="D2455" i="2"/>
  <c r="D2456" i="2"/>
  <c r="D2457" i="2"/>
  <c r="D2461" i="2"/>
  <c r="D2462" i="2"/>
  <c r="D2463" i="2"/>
  <c r="D2467" i="2"/>
  <c r="D2468" i="2"/>
  <c r="D2469" i="2"/>
  <c r="D2473" i="2"/>
  <c r="D2474" i="2"/>
  <c r="D2475" i="2"/>
  <c r="D2479" i="2"/>
  <c r="D2480" i="2"/>
  <c r="D2481" i="2"/>
  <c r="D2485" i="2"/>
  <c r="D2486" i="2"/>
  <c r="D2487" i="2"/>
  <c r="D2491" i="2"/>
  <c r="D2492" i="2"/>
  <c r="D2493" i="2"/>
  <c r="D2497" i="2"/>
  <c r="D2498" i="2"/>
  <c r="D2499" i="2"/>
  <c r="D2503" i="2"/>
  <c r="D2504" i="2"/>
  <c r="D2505" i="2"/>
  <c r="D2509" i="2"/>
  <c r="D2510" i="2"/>
  <c r="D2511" i="2"/>
  <c r="D2515" i="2"/>
  <c r="D2516" i="2"/>
  <c r="D2517" i="2"/>
  <c r="D2521" i="2"/>
  <c r="D2522" i="2"/>
  <c r="D2523" i="2"/>
  <c r="D2527" i="2"/>
  <c r="D2528" i="2"/>
  <c r="D2529" i="2"/>
  <c r="D2533" i="2"/>
  <c r="D2534" i="2"/>
  <c r="D2535" i="2"/>
  <c r="D2539" i="2"/>
  <c r="D2540" i="2"/>
  <c r="D2541" i="2"/>
  <c r="D2545" i="2"/>
  <c r="D2546" i="2"/>
  <c r="D2547" i="2"/>
  <c r="D2551" i="2"/>
  <c r="D2552" i="2"/>
  <c r="D2553" i="2"/>
  <c r="D2557" i="2"/>
  <c r="D2558" i="2"/>
  <c r="D2559" i="2"/>
  <c r="D2563" i="2"/>
  <c r="D2564" i="2"/>
  <c r="D2565" i="2"/>
  <c r="D2569" i="2"/>
  <c r="D2570" i="2"/>
  <c r="D2571" i="2"/>
  <c r="D2575" i="2"/>
  <c r="D2576" i="2"/>
  <c r="D2577" i="2"/>
  <c r="D2581" i="2"/>
  <c r="D2582" i="2"/>
  <c r="D2583" i="2"/>
  <c r="D2587" i="2"/>
  <c r="D2588" i="2"/>
  <c r="D2589" i="2"/>
  <c r="D2593" i="2"/>
  <c r="D2594" i="2"/>
  <c r="D2595" i="2"/>
  <c r="D2599" i="2"/>
  <c r="D2600" i="2"/>
  <c r="D2601" i="2"/>
  <c r="D2605" i="2"/>
  <c r="D2606" i="2"/>
  <c r="D2607" i="2"/>
  <c r="D2611" i="2"/>
  <c r="D2612" i="2"/>
  <c r="D2613" i="2"/>
  <c r="D2617" i="2"/>
  <c r="D2618" i="2"/>
  <c r="D2619" i="2"/>
  <c r="D2623" i="2"/>
  <c r="D2624" i="2"/>
  <c r="D2625" i="2"/>
  <c r="D2629" i="2"/>
  <c r="D2630" i="2"/>
  <c r="D2631" i="2"/>
  <c r="D2635" i="2"/>
  <c r="D2636" i="2"/>
  <c r="D2637" i="2"/>
  <c r="D2641" i="2"/>
  <c r="D2642" i="2"/>
  <c r="D2643" i="2"/>
  <c r="D2647" i="2"/>
  <c r="D2648" i="2"/>
  <c r="D2649" i="2"/>
  <c r="D2653" i="2"/>
  <c r="D2654" i="2"/>
  <c r="D2655" i="2"/>
  <c r="D2659" i="2"/>
  <c r="D2660" i="2"/>
  <c r="D2661" i="2"/>
  <c r="D2665" i="2"/>
  <c r="D2666" i="2"/>
  <c r="D2667" i="2"/>
  <c r="D2671" i="2"/>
  <c r="D2672" i="2"/>
  <c r="D2673" i="2"/>
  <c r="D2677" i="2"/>
  <c r="D2678" i="2"/>
  <c r="D2679" i="2"/>
  <c r="D2683" i="2"/>
  <c r="D2684" i="2"/>
  <c r="D2685" i="2"/>
  <c r="D2689" i="2"/>
  <c r="D2690" i="2"/>
  <c r="D2691" i="2"/>
  <c r="D2695" i="2"/>
  <c r="D2696" i="2"/>
  <c r="D2697" i="2"/>
  <c r="D2701" i="2"/>
  <c r="D2702" i="2"/>
  <c r="D2703" i="2"/>
  <c r="D2707" i="2"/>
  <c r="D2708" i="2"/>
  <c r="D2709" i="2"/>
  <c r="D2713" i="2"/>
  <c r="D2714" i="2"/>
  <c r="D2715" i="2"/>
  <c r="D2719" i="2"/>
  <c r="D2720" i="2"/>
  <c r="D2721" i="2"/>
  <c r="D2725" i="2"/>
  <c r="D2726" i="2"/>
  <c r="D2727" i="2"/>
  <c r="D2731" i="2"/>
  <c r="D2732" i="2"/>
  <c r="D2733" i="2"/>
  <c r="D2737" i="2"/>
  <c r="D2738" i="2"/>
  <c r="D2739" i="2"/>
  <c r="D2743" i="2"/>
  <c r="D2744" i="2"/>
  <c r="D2745" i="2"/>
  <c r="D2749" i="2"/>
  <c r="D2750" i="2"/>
  <c r="D2751" i="2"/>
  <c r="D2755" i="2"/>
  <c r="D2756" i="2"/>
  <c r="D2757" i="2"/>
  <c r="D2761" i="2"/>
  <c r="D2762" i="2"/>
  <c r="D2763" i="2"/>
  <c r="D2767" i="2"/>
  <c r="D2768" i="2"/>
  <c r="D2769" i="2"/>
  <c r="D2773" i="2"/>
  <c r="D2774" i="2"/>
  <c r="D2775" i="2"/>
  <c r="D2779" i="2"/>
  <c r="D2780" i="2"/>
  <c r="D2781" i="2"/>
  <c r="D2785" i="2"/>
  <c r="D2786" i="2"/>
  <c r="D2787" i="2"/>
  <c r="D2791" i="2"/>
  <c r="D2792" i="2"/>
  <c r="D2793" i="2"/>
  <c r="D2797" i="2"/>
  <c r="D2798" i="2"/>
  <c r="D2799" i="2"/>
  <c r="D2803" i="2"/>
  <c r="D2804" i="2"/>
  <c r="D2805" i="2"/>
  <c r="D2809" i="2"/>
  <c r="D2810" i="2"/>
  <c r="D2811" i="2"/>
  <c r="D2815" i="2"/>
  <c r="D2816" i="2"/>
  <c r="D2817" i="2"/>
  <c r="D2821" i="2"/>
  <c r="D2822" i="2"/>
  <c r="D2823" i="2"/>
  <c r="D2827" i="2"/>
  <c r="D2828" i="2"/>
  <c r="D2829" i="2"/>
  <c r="D2833" i="2"/>
  <c r="D2834" i="2"/>
  <c r="D2835" i="2"/>
  <c r="D2839" i="2"/>
  <c r="D2840" i="2"/>
  <c r="D2841" i="2"/>
  <c r="D2845" i="2"/>
  <c r="D2846" i="2"/>
  <c r="D2847" i="2"/>
  <c r="D2851" i="2"/>
  <c r="D2852" i="2"/>
  <c r="D2853" i="2"/>
  <c r="D2857" i="2"/>
  <c r="D2858" i="2"/>
  <c r="D2859" i="2"/>
  <c r="D2863" i="2"/>
  <c r="D2864" i="2"/>
  <c r="D2865" i="2"/>
  <c r="D2869" i="2"/>
  <c r="D2870" i="2"/>
  <c r="D2871" i="2"/>
  <c r="D2875" i="2"/>
  <c r="D2876" i="2"/>
  <c r="D2877" i="2"/>
  <c r="D2881" i="2"/>
  <c r="D2882" i="2"/>
  <c r="D2883" i="2"/>
  <c r="D2887" i="2"/>
  <c r="D2888" i="2"/>
  <c r="D2889" i="2"/>
  <c r="D2893" i="2"/>
  <c r="D2894" i="2"/>
  <c r="D2895" i="2"/>
  <c r="D2899" i="2"/>
  <c r="D2900" i="2"/>
  <c r="D2901" i="2"/>
  <c r="D2905" i="2"/>
  <c r="D2906" i="2"/>
  <c r="D2907" i="2"/>
  <c r="D2911" i="2"/>
  <c r="D2912" i="2"/>
  <c r="D2913" i="2"/>
  <c r="D2917" i="2"/>
  <c r="D2918" i="2"/>
  <c r="D2919" i="2"/>
  <c r="D2923" i="2"/>
  <c r="D2924" i="2"/>
  <c r="D2925" i="2"/>
  <c r="D2929" i="2"/>
  <c r="D2930" i="2"/>
  <c r="D2931" i="2"/>
  <c r="D2935" i="2"/>
  <c r="D2936" i="2"/>
  <c r="D2937" i="2"/>
  <c r="D2941" i="2"/>
  <c r="D2942" i="2"/>
  <c r="D2943" i="2"/>
  <c r="D2947" i="2"/>
  <c r="D2948" i="2"/>
  <c r="D2949" i="2"/>
  <c r="D2953" i="2"/>
  <c r="D2954" i="2"/>
  <c r="D2955" i="2"/>
  <c r="D2959" i="2"/>
  <c r="D2960" i="2"/>
  <c r="D2961" i="2"/>
  <c r="D2965" i="2"/>
  <c r="D2966" i="2"/>
  <c r="D2967" i="2"/>
  <c r="D2971" i="2"/>
  <c r="D2972" i="2"/>
  <c r="D2973" i="2"/>
  <c r="D2977" i="2"/>
  <c r="D2978" i="2"/>
  <c r="D2979" i="2"/>
  <c r="D2983" i="2"/>
  <c r="D2984" i="2"/>
  <c r="D2985" i="2"/>
  <c r="D2989" i="2"/>
  <c r="D2990" i="2"/>
  <c r="D2991" i="2"/>
  <c r="D2995" i="2"/>
  <c r="D2996" i="2"/>
  <c r="D2997" i="2"/>
  <c r="D3001" i="2"/>
  <c r="D3002" i="2"/>
  <c r="D3003" i="2"/>
  <c r="D3007" i="2"/>
  <c r="D3008" i="2"/>
  <c r="D3009" i="2"/>
  <c r="D3013" i="2"/>
  <c r="D3014" i="2"/>
  <c r="D3015" i="2"/>
  <c r="D3019" i="2"/>
  <c r="D3020" i="2"/>
  <c r="D3021" i="2"/>
  <c r="D3025" i="2"/>
  <c r="D3026" i="2"/>
  <c r="D3027" i="2"/>
  <c r="D3031" i="2"/>
  <c r="D3032" i="2"/>
  <c r="D3033" i="2"/>
  <c r="D3037" i="2"/>
  <c r="D3038" i="2"/>
  <c r="D3039" i="2"/>
  <c r="D3043" i="2"/>
  <c r="D3044" i="2"/>
  <c r="D3045" i="2"/>
  <c r="D3049" i="2"/>
  <c r="D3050" i="2"/>
  <c r="D3051" i="2"/>
  <c r="D3055" i="2"/>
  <c r="D3056" i="2"/>
  <c r="D3057" i="2"/>
  <c r="D3061" i="2"/>
  <c r="D3062" i="2"/>
  <c r="D3063" i="2"/>
  <c r="D3067" i="2"/>
  <c r="D3068" i="2"/>
  <c r="D3069" i="2"/>
  <c r="D3073" i="2"/>
  <c r="D3074" i="2"/>
  <c r="D3075" i="2"/>
  <c r="D3079" i="2"/>
  <c r="D3080" i="2"/>
  <c r="D3081" i="2"/>
  <c r="D3085" i="2"/>
  <c r="D3086" i="2"/>
  <c r="D3087" i="2"/>
  <c r="D3091" i="2"/>
  <c r="D3092" i="2"/>
  <c r="D3093" i="2"/>
  <c r="D3097" i="2"/>
  <c r="D3098" i="2"/>
  <c r="D3099" i="2"/>
  <c r="D3103" i="2"/>
  <c r="D3104" i="2"/>
  <c r="D3105" i="2"/>
  <c r="D3109" i="2"/>
  <c r="D3110" i="2"/>
  <c r="D3111" i="2"/>
  <c r="D3115" i="2"/>
  <c r="D3116" i="2"/>
  <c r="D3117" i="2"/>
  <c r="D3121" i="2"/>
  <c r="D3122" i="2"/>
  <c r="D3123" i="2"/>
  <c r="D3127" i="2"/>
  <c r="D3128" i="2"/>
  <c r="D3129" i="2"/>
  <c r="D3133" i="2"/>
  <c r="D3134" i="2"/>
  <c r="D3135" i="2"/>
  <c r="D3139" i="2"/>
  <c r="D3140" i="2"/>
  <c r="D3141" i="2"/>
  <c r="D3145" i="2"/>
  <c r="D3146" i="2"/>
  <c r="D3147" i="2"/>
  <c r="D3151" i="2"/>
  <c r="D3152" i="2"/>
  <c r="D3153" i="2"/>
  <c r="D3157" i="2"/>
  <c r="D3158" i="2"/>
  <c r="D3159" i="2"/>
  <c r="D3163" i="2"/>
  <c r="D3164" i="2"/>
  <c r="D3165" i="2"/>
  <c r="D3169" i="2"/>
  <c r="D3170" i="2"/>
  <c r="D3171" i="2"/>
  <c r="D3175" i="2"/>
  <c r="D3176" i="2"/>
  <c r="D3177" i="2"/>
  <c r="D3181" i="2"/>
  <c r="D3182" i="2"/>
  <c r="D3183" i="2"/>
  <c r="D3187" i="2"/>
  <c r="D3188" i="2"/>
  <c r="D3189" i="2"/>
  <c r="D3193" i="2"/>
  <c r="D3194" i="2"/>
  <c r="D3195" i="2"/>
  <c r="D3199" i="2"/>
  <c r="D3200" i="2"/>
  <c r="D3201" i="2"/>
  <c r="D3205" i="2"/>
  <c r="D3206" i="2"/>
  <c r="D3207" i="2"/>
  <c r="D3211" i="2"/>
  <c r="D3212" i="2"/>
  <c r="D3213" i="2"/>
  <c r="D3217" i="2"/>
  <c r="D3218" i="2"/>
  <c r="D3219" i="2"/>
  <c r="D3223" i="2"/>
  <c r="D3224" i="2"/>
  <c r="D3225" i="2"/>
  <c r="D3229" i="2"/>
  <c r="D3230" i="2"/>
  <c r="D3231" i="2"/>
  <c r="D3235" i="2"/>
  <c r="D3236" i="2"/>
  <c r="D3237" i="2"/>
  <c r="D3241" i="2"/>
  <c r="D3242" i="2"/>
  <c r="D3243" i="2"/>
  <c r="D3247" i="2"/>
  <c r="D3248" i="2"/>
  <c r="D3249" i="2"/>
  <c r="D3253" i="2"/>
  <c r="D3254" i="2"/>
  <c r="D3255" i="2"/>
  <c r="D3259" i="2"/>
  <c r="D3260" i="2"/>
  <c r="D3261" i="2"/>
  <c r="D3265" i="2"/>
  <c r="D3266" i="2"/>
  <c r="D3267" i="2"/>
  <c r="D3271" i="2"/>
  <c r="D3272" i="2"/>
  <c r="D3273" i="2"/>
  <c r="D3277" i="2"/>
  <c r="D3278" i="2"/>
  <c r="D3279" i="2"/>
  <c r="D3283" i="2"/>
  <c r="D3284" i="2"/>
  <c r="D3285" i="2"/>
  <c r="D3289" i="2"/>
  <c r="D3290" i="2"/>
  <c r="D3291" i="2"/>
  <c r="D3295" i="2"/>
  <c r="D3296" i="2"/>
  <c r="D3297" i="2"/>
  <c r="D3301" i="2"/>
  <c r="D3302" i="2"/>
  <c r="D3303" i="2"/>
  <c r="D3307" i="2"/>
  <c r="D3308" i="2"/>
  <c r="D3309" i="2"/>
  <c r="D3313" i="2"/>
  <c r="D3314" i="2"/>
  <c r="D3315" i="2"/>
  <c r="D3319" i="2"/>
  <c r="D3320" i="2"/>
  <c r="D3321" i="2"/>
  <c r="D3325" i="2"/>
  <c r="D3326" i="2"/>
  <c r="D3327" i="2"/>
  <c r="D3331" i="2"/>
  <c r="D3332" i="2"/>
  <c r="D3333" i="2"/>
  <c r="D3337" i="2"/>
  <c r="D3338" i="2"/>
  <c r="D3339" i="2"/>
  <c r="D3343" i="2"/>
  <c r="D3344" i="2"/>
  <c r="D3345" i="2"/>
  <c r="D3349" i="2"/>
  <c r="D3350" i="2"/>
  <c r="D3351" i="2"/>
  <c r="D3355" i="2"/>
  <c r="D3356" i="2"/>
  <c r="D3357" i="2"/>
  <c r="D3361" i="2"/>
  <c r="D3362" i="2"/>
  <c r="D3363" i="2"/>
  <c r="D3367" i="2"/>
  <c r="D3368" i="2"/>
  <c r="D3369" i="2"/>
  <c r="D3373" i="2"/>
  <c r="D3374" i="2"/>
  <c r="D3375" i="2"/>
  <c r="D3379" i="2"/>
  <c r="D3380" i="2"/>
  <c r="D3381" i="2"/>
  <c r="D3385" i="2"/>
  <c r="D3386" i="2"/>
  <c r="D3387" i="2"/>
  <c r="D3391" i="2"/>
  <c r="D3392" i="2"/>
  <c r="D3393" i="2"/>
  <c r="D3397" i="2"/>
  <c r="D3398" i="2"/>
  <c r="D3399" i="2"/>
  <c r="D3403" i="2"/>
  <c r="D3404" i="2"/>
  <c r="D3405" i="2"/>
  <c r="D3409" i="2"/>
  <c r="D3410" i="2"/>
  <c r="D3411" i="2"/>
  <c r="D3415" i="2"/>
  <c r="D3416" i="2"/>
  <c r="D3417" i="2"/>
  <c r="D3421" i="2"/>
  <c r="D3422" i="2"/>
  <c r="D3423" i="2"/>
  <c r="D3427" i="2"/>
  <c r="D3428" i="2"/>
  <c r="D3429" i="2"/>
  <c r="D3433" i="2"/>
  <c r="D3434" i="2"/>
  <c r="D3435" i="2"/>
  <c r="D3439" i="2"/>
  <c r="D3440" i="2"/>
  <c r="D3441" i="2"/>
  <c r="D3445" i="2"/>
  <c r="D3446" i="2"/>
  <c r="D3447" i="2"/>
  <c r="D3451" i="2"/>
  <c r="D3452" i="2"/>
  <c r="D3453" i="2"/>
  <c r="D3457" i="2"/>
  <c r="D3458" i="2"/>
  <c r="D3459" i="2"/>
  <c r="D3463" i="2"/>
  <c r="D3464" i="2"/>
  <c r="D3465" i="2"/>
  <c r="D3469" i="2"/>
  <c r="D3470" i="2"/>
  <c r="D3471" i="2"/>
  <c r="D3475" i="2"/>
  <c r="D3476" i="2"/>
  <c r="D3477" i="2"/>
  <c r="D3481" i="2"/>
  <c r="D3482" i="2"/>
  <c r="D3483" i="2"/>
  <c r="D3487" i="2"/>
  <c r="D3488" i="2"/>
  <c r="D3489" i="2"/>
  <c r="D3493" i="2"/>
  <c r="D3494" i="2"/>
  <c r="D3495" i="2"/>
  <c r="D3499" i="2"/>
  <c r="D3500" i="2"/>
  <c r="D3501" i="2"/>
  <c r="D3505" i="2"/>
  <c r="D3506" i="2"/>
  <c r="D3507" i="2"/>
  <c r="D3511" i="2"/>
  <c r="D3512" i="2"/>
  <c r="D3513" i="2"/>
  <c r="D3517" i="2"/>
  <c r="D3518" i="2"/>
  <c r="D3519" i="2"/>
  <c r="D3523" i="2"/>
  <c r="D3524" i="2"/>
  <c r="D3525" i="2"/>
  <c r="D3529" i="2"/>
  <c r="D3530" i="2"/>
  <c r="D3531" i="2"/>
  <c r="D3535" i="2"/>
  <c r="D3536" i="2"/>
  <c r="D3537" i="2"/>
  <c r="D3541" i="2"/>
  <c r="D3542" i="2"/>
  <c r="D3543" i="2"/>
  <c r="D3547" i="2"/>
  <c r="D3548" i="2"/>
  <c r="D3549" i="2"/>
  <c r="D3553" i="2"/>
  <c r="D3554" i="2"/>
  <c r="D3555" i="2"/>
  <c r="D3559" i="2"/>
  <c r="D3560" i="2"/>
  <c r="D3561" i="2"/>
  <c r="D3565" i="2"/>
  <c r="D3566" i="2"/>
  <c r="D3567" i="2"/>
  <c r="D3571" i="2"/>
  <c r="D3572" i="2"/>
  <c r="D3573" i="2"/>
  <c r="D3577" i="2"/>
  <c r="D3578" i="2"/>
  <c r="D3579" i="2"/>
  <c r="D3583" i="2"/>
  <c r="D3584" i="2"/>
  <c r="D3585" i="2"/>
  <c r="D3589" i="2"/>
  <c r="D3590" i="2"/>
  <c r="D3591" i="2"/>
  <c r="D3595" i="2"/>
  <c r="D3596" i="2"/>
  <c r="D3597" i="2"/>
  <c r="D3601" i="2"/>
  <c r="D3602" i="2"/>
  <c r="D3603" i="2"/>
  <c r="D3607" i="2"/>
  <c r="D3608" i="2"/>
  <c r="D3609" i="2"/>
  <c r="D3613" i="2"/>
  <c r="D3614" i="2"/>
  <c r="D3615" i="2"/>
  <c r="D3619" i="2"/>
  <c r="D3620" i="2"/>
  <c r="D3621" i="2"/>
  <c r="D3625" i="2"/>
  <c r="D3626" i="2"/>
  <c r="D3627" i="2"/>
  <c r="D3631" i="2"/>
  <c r="D3632" i="2"/>
  <c r="D3633" i="2"/>
  <c r="D3637" i="2"/>
  <c r="D3638" i="2"/>
  <c r="D3639" i="2"/>
  <c r="D3643" i="2"/>
  <c r="D3644" i="2"/>
  <c r="D3645" i="2"/>
  <c r="D3649" i="2"/>
  <c r="D3650" i="2"/>
  <c r="D3651" i="2"/>
  <c r="D3655" i="2"/>
  <c r="D3656" i="2"/>
  <c r="D3657" i="2"/>
  <c r="D3661" i="2"/>
  <c r="D3662" i="2"/>
  <c r="D3663" i="2"/>
  <c r="D3667" i="2"/>
  <c r="D3668" i="2"/>
  <c r="D3669" i="2"/>
  <c r="D3673" i="2"/>
  <c r="D3674" i="2"/>
  <c r="D3675" i="2"/>
  <c r="D3679" i="2"/>
  <c r="D3680" i="2"/>
  <c r="D3681" i="2"/>
  <c r="D3685" i="2"/>
  <c r="D3686" i="2"/>
  <c r="D3687" i="2"/>
  <c r="D3691" i="2"/>
  <c r="D3692" i="2"/>
  <c r="D3693" i="2"/>
  <c r="D3697" i="2"/>
  <c r="D3698" i="2"/>
  <c r="D3699" i="2"/>
  <c r="D3703" i="2"/>
  <c r="D3704" i="2"/>
  <c r="D3705" i="2"/>
  <c r="D3709" i="2"/>
  <c r="D3710" i="2"/>
  <c r="D3711" i="2"/>
  <c r="D3715" i="2"/>
  <c r="D3716" i="2"/>
  <c r="D3717" i="2"/>
  <c r="D3721" i="2"/>
  <c r="D3722" i="2"/>
  <c r="D3723" i="2"/>
  <c r="D3727" i="2"/>
  <c r="D3728" i="2"/>
  <c r="D3729" i="2"/>
  <c r="D3733" i="2"/>
  <c r="D3734" i="2"/>
  <c r="D3735" i="2"/>
  <c r="D3739" i="2"/>
  <c r="D3740" i="2"/>
  <c r="D3741" i="2"/>
  <c r="D3745" i="2"/>
  <c r="D3746" i="2"/>
  <c r="D3747" i="2"/>
  <c r="D3751" i="2"/>
  <c r="D3752" i="2"/>
  <c r="D3753" i="2"/>
  <c r="D3757" i="2"/>
  <c r="D3758" i="2"/>
  <c r="D3759" i="2"/>
  <c r="D3763" i="2"/>
  <c r="D3764" i="2"/>
  <c r="D3765" i="2"/>
  <c r="D3769" i="2"/>
  <c r="D3770" i="2"/>
  <c r="D3771" i="2"/>
  <c r="D3775" i="2"/>
  <c r="D3776" i="2"/>
  <c r="D3777" i="2"/>
  <c r="D3781" i="2"/>
  <c r="D3782" i="2"/>
  <c r="D3783" i="2"/>
  <c r="D3787" i="2"/>
  <c r="D3788" i="2"/>
  <c r="D3789" i="2"/>
  <c r="D3793" i="2"/>
  <c r="D3794" i="2"/>
  <c r="D3795" i="2"/>
  <c r="D3799" i="2"/>
  <c r="D3800" i="2"/>
  <c r="D3801" i="2"/>
  <c r="D3805" i="2"/>
  <c r="D3806" i="2"/>
  <c r="D3807" i="2"/>
  <c r="D3811" i="2"/>
  <c r="D3812" i="2"/>
  <c r="D3813" i="2"/>
  <c r="D3817" i="2"/>
  <c r="D3818" i="2"/>
  <c r="D3819" i="2"/>
  <c r="D3823" i="2"/>
  <c r="D3824" i="2"/>
  <c r="D3825" i="2"/>
  <c r="D3829" i="2"/>
  <c r="D3830" i="2"/>
  <c r="D3831" i="2"/>
  <c r="D3835" i="2"/>
  <c r="D3836" i="2"/>
  <c r="D3837" i="2"/>
  <c r="D3841" i="2"/>
  <c r="D3842" i="2"/>
  <c r="B42" i="2" l="1"/>
  <c r="D42" i="2" s="1"/>
  <c r="B41" i="2"/>
  <c r="D41" i="2" s="1"/>
  <c r="B40" i="2"/>
  <c r="D40" i="2" s="1"/>
  <c r="B34" i="2"/>
  <c r="D34" i="2" s="1"/>
  <c r="B36" i="2"/>
  <c r="D36" i="2" s="1"/>
  <c r="B35" i="2"/>
  <c r="D35" i="2" s="1"/>
  <c r="B77" i="2"/>
  <c r="D77" i="2" s="1"/>
  <c r="B76" i="2"/>
  <c r="D76" i="2" s="1"/>
  <c r="B78" i="2"/>
  <c r="D78" i="2" s="1"/>
  <c r="B102" i="2"/>
  <c r="D102" i="2" s="1"/>
  <c r="B101" i="2"/>
  <c r="D101" i="2" s="1"/>
  <c r="B16" i="2"/>
  <c r="D16" i="2" s="1"/>
  <c r="B18" i="2"/>
  <c r="D18" i="2" s="1"/>
  <c r="B29" i="2"/>
  <c r="D29" i="2" s="1"/>
  <c r="B28" i="2"/>
  <c r="D28" i="2" s="1"/>
  <c r="B30" i="2"/>
  <c r="D30" i="2" s="1"/>
  <c r="B100" i="2"/>
  <c r="D100" i="2" s="1"/>
  <c r="B84" i="2"/>
  <c r="D84" i="2" s="1"/>
  <c r="B82" i="2"/>
  <c r="D82" i="2" s="1"/>
  <c r="B83" i="2"/>
  <c r="D83" i="2" s="1"/>
  <c r="B95" i="2"/>
  <c r="D95" i="2" s="1"/>
  <c r="B94" i="2"/>
  <c r="D94" i="2" s="1"/>
  <c r="B114" i="2"/>
  <c r="D114" i="2" s="1"/>
  <c r="B113" i="2"/>
  <c r="D113" i="2" s="1"/>
  <c r="B112" i="2"/>
  <c r="D112" i="2" s="1"/>
  <c r="B52" i="2"/>
  <c r="D52" i="2" s="1"/>
  <c r="B96" i="2"/>
  <c r="D96" i="2" s="1"/>
  <c r="B90" i="2"/>
  <c r="D90" i="2" s="1"/>
  <c r="B88" i="2"/>
  <c r="D88" i="2" s="1"/>
  <c r="B126" i="2"/>
  <c r="D126" i="2" s="1"/>
  <c r="B24" i="2"/>
  <c r="D24" i="2" s="1"/>
  <c r="B89" i="2"/>
  <c r="D89" i="2" s="1"/>
  <c r="B142" i="2"/>
  <c r="D142" i="2" s="1"/>
  <c r="B143" i="2"/>
  <c r="D143" i="2" s="1"/>
  <c r="D151" i="2"/>
  <c r="B150" i="2"/>
  <c r="D150" i="2" s="1"/>
  <c r="B148" i="2"/>
  <c r="D148" i="2" s="1"/>
  <c r="D147" i="2"/>
  <c r="B165" i="2"/>
  <c r="B166" i="2"/>
  <c r="D166" i="2" s="1"/>
  <c r="B167" i="2"/>
  <c r="D167" i="2" s="1"/>
  <c r="B168" i="2"/>
  <c r="D168" i="2" s="1"/>
  <c r="B171" i="2"/>
  <c r="B173" i="2"/>
  <c r="D173" i="2" s="1"/>
  <c r="B177" i="2"/>
  <c r="B178" i="2"/>
  <c r="D178" i="2" s="1"/>
  <c r="B179" i="2"/>
  <c r="D179" i="2" s="1"/>
  <c r="B180" i="2"/>
  <c r="D180" i="2" s="1"/>
  <c r="B183" i="2"/>
  <c r="B184" i="2" s="1"/>
  <c r="D184" i="2" s="1"/>
  <c r="B185" i="2"/>
  <c r="D185" i="2" s="1"/>
  <c r="B186" i="2"/>
  <c r="D186" i="2" s="1"/>
  <c r="B189" i="2"/>
  <c r="B190" i="2"/>
  <c r="D190" i="2" s="1"/>
  <c r="B191" i="2"/>
  <c r="D191" i="2" s="1"/>
  <c r="B192" i="2"/>
  <c r="D192" i="2" s="1"/>
  <c r="B195" i="2"/>
  <c r="B196" i="2" s="1"/>
  <c r="D196" i="2" s="1"/>
  <c r="B197" i="2"/>
  <c r="D197" i="2" s="1"/>
  <c r="B198" i="2"/>
  <c r="D198" i="2" s="1"/>
  <c r="B201" i="2"/>
  <c r="B202" i="2"/>
  <c r="D202" i="2" s="1"/>
  <c r="B203" i="2"/>
  <c r="D203" i="2" s="1"/>
  <c r="B204" i="2"/>
  <c r="D204" i="2" s="1"/>
  <c r="B207" i="2"/>
  <c r="B208" i="2" s="1"/>
  <c r="D208" i="2" s="1"/>
  <c r="B210" i="2"/>
  <c r="D210" i="2" s="1"/>
  <c r="B213" i="2"/>
  <c r="B214" i="2"/>
  <c r="D214" i="2" s="1"/>
  <c r="B215" i="2"/>
  <c r="D215" i="2" s="1"/>
  <c r="B216" i="2"/>
  <c r="D216" i="2" s="1"/>
  <c r="B219" i="2"/>
  <c r="B220" i="2" s="1"/>
  <c r="D220" i="2" s="1"/>
  <c r="B221" i="2"/>
  <c r="D221" i="2" s="1"/>
  <c r="B225" i="2"/>
  <c r="B226" i="2"/>
  <c r="D226" i="2" s="1"/>
  <c r="B227" i="2"/>
  <c r="D227" i="2" s="1"/>
  <c r="B228" i="2"/>
  <c r="D228" i="2" s="1"/>
  <c r="B231" i="2"/>
  <c r="B237" i="2"/>
  <c r="B238" i="2"/>
  <c r="D238" i="2" s="1"/>
  <c r="B239" i="2"/>
  <c r="D239" i="2" s="1"/>
  <c r="B240" i="2"/>
  <c r="D240" i="2" s="1"/>
  <c r="B243" i="2"/>
  <c r="B245" i="2"/>
  <c r="D245" i="2" s="1"/>
  <c r="B249" i="2"/>
  <c r="B250" i="2"/>
  <c r="D250" i="2" s="1"/>
  <c r="B251" i="2"/>
  <c r="D251" i="2" s="1"/>
  <c r="B252" i="2"/>
  <c r="D252" i="2" s="1"/>
  <c r="B255" i="2"/>
  <c r="B256" i="2" s="1"/>
  <c r="D256" i="2" s="1"/>
  <c r="B258" i="2"/>
  <c r="D258" i="2" s="1"/>
  <c r="B261" i="2"/>
  <c r="B262" i="2"/>
  <c r="D262" i="2" s="1"/>
  <c r="B263" i="2"/>
  <c r="D263" i="2" s="1"/>
  <c r="B264" i="2"/>
  <c r="D264" i="2" s="1"/>
  <c r="B267" i="2"/>
  <c r="B273" i="2"/>
  <c r="B274" i="2"/>
  <c r="D274" i="2" s="1"/>
  <c r="B275" i="2"/>
  <c r="D275" i="2" s="1"/>
  <c r="B276" i="2"/>
  <c r="D276" i="2" s="1"/>
  <c r="B279" i="2"/>
  <c r="B281" i="2"/>
  <c r="D281" i="2" s="1"/>
  <c r="B285" i="2"/>
  <c r="B286" i="2"/>
  <c r="D286" i="2" s="1"/>
  <c r="B287" i="2"/>
  <c r="D287" i="2" s="1"/>
  <c r="B288" i="2"/>
  <c r="D288" i="2" s="1"/>
  <c r="B291" i="2"/>
  <c r="B292" i="2" s="1"/>
  <c r="D292" i="2" s="1"/>
  <c r="B293" i="2"/>
  <c r="D293" i="2" s="1"/>
  <c r="B294" i="2"/>
  <c r="D294" i="2" s="1"/>
  <c r="B297" i="2"/>
  <c r="B298" i="2"/>
  <c r="D298" i="2" s="1"/>
  <c r="B299" i="2"/>
  <c r="D299" i="2" s="1"/>
  <c r="B300" i="2"/>
  <c r="D300" i="2" s="1"/>
  <c r="B303" i="2"/>
  <c r="B304" i="2" s="1"/>
  <c r="D304" i="2" s="1"/>
  <c r="B306" i="2"/>
  <c r="D306" i="2" s="1"/>
  <c r="B309" i="2"/>
  <c r="B310" i="2"/>
  <c r="D310" i="2" s="1"/>
  <c r="B311" i="2"/>
  <c r="D311" i="2" s="1"/>
  <c r="B312" i="2"/>
  <c r="D312" i="2" s="1"/>
  <c r="B315" i="2"/>
  <c r="B321" i="2"/>
  <c r="B322" i="2"/>
  <c r="D322" i="2" s="1"/>
  <c r="B323" i="2"/>
  <c r="D323" i="2" s="1"/>
  <c r="B324" i="2"/>
  <c r="D324" i="2" s="1"/>
  <c r="B327" i="2"/>
  <c r="B333" i="2"/>
  <c r="B334" i="2"/>
  <c r="D334" i="2" s="1"/>
  <c r="B335" i="2"/>
  <c r="D335" i="2" s="1"/>
  <c r="B336" i="2"/>
  <c r="D336" i="2" s="1"/>
  <c r="B339" i="2"/>
  <c r="B340" i="2" s="1"/>
  <c r="D340" i="2" s="1"/>
  <c r="B341" i="2"/>
  <c r="D341" i="2" s="1"/>
  <c r="B342" i="2"/>
  <c r="D342" i="2" s="1"/>
  <c r="B345" i="2"/>
  <c r="B346" i="2"/>
  <c r="D346" i="2" s="1"/>
  <c r="B347" i="2"/>
  <c r="D347" i="2" s="1"/>
  <c r="B348" i="2"/>
  <c r="D348" i="2" s="1"/>
  <c r="B351" i="2"/>
  <c r="B357" i="2"/>
  <c r="B358" i="2"/>
  <c r="D358" i="2" s="1"/>
  <c r="B359" i="2"/>
  <c r="D359" i="2" s="1"/>
  <c r="B360" i="2"/>
  <c r="D360" i="2" s="1"/>
  <c r="B363" i="2"/>
  <c r="B365" i="2"/>
  <c r="D365" i="2" s="1"/>
  <c r="B369" i="2"/>
  <c r="B370" i="2"/>
  <c r="D370" i="2" s="1"/>
  <c r="B371" i="2"/>
  <c r="D371" i="2" s="1"/>
  <c r="B372" i="2"/>
  <c r="D372" i="2" s="1"/>
  <c r="B375" i="2"/>
  <c r="B376" i="2" s="1"/>
  <c r="D376" i="2" s="1"/>
  <c r="B377" i="2"/>
  <c r="D377" i="2" s="1"/>
  <c r="B378" i="2"/>
  <c r="D378" i="2" s="1"/>
  <c r="B381" i="2"/>
  <c r="B382" i="2"/>
  <c r="D382" i="2" s="1"/>
  <c r="B383" i="2"/>
  <c r="D383" i="2" s="1"/>
  <c r="B384" i="2"/>
  <c r="D384" i="2" s="1"/>
  <c r="B387" i="2"/>
  <c r="B388" i="2" s="1"/>
  <c r="D388" i="2" s="1"/>
  <c r="B389" i="2"/>
  <c r="D389" i="2" s="1"/>
  <c r="B390" i="2"/>
  <c r="D390" i="2" s="1"/>
  <c r="B393" i="2"/>
  <c r="B394" i="2"/>
  <c r="D394" i="2" s="1"/>
  <c r="B395" i="2"/>
  <c r="D395" i="2" s="1"/>
  <c r="B396" i="2"/>
  <c r="D396" i="2" s="1"/>
  <c r="B399" i="2"/>
  <c r="B400" i="2" s="1"/>
  <c r="D400" i="2" s="1"/>
  <c r="B402" i="2"/>
  <c r="D402" i="2" s="1"/>
  <c r="B405" i="2"/>
  <c r="B406" i="2"/>
  <c r="D406" i="2" s="1"/>
  <c r="B407" i="2"/>
  <c r="D407" i="2" s="1"/>
  <c r="B408" i="2"/>
  <c r="D408" i="2" s="1"/>
  <c r="B411" i="2"/>
  <c r="B417" i="2"/>
  <c r="B418" i="2"/>
  <c r="D418" i="2" s="1"/>
  <c r="B419" i="2"/>
  <c r="D419" i="2" s="1"/>
  <c r="B420" i="2"/>
  <c r="D420" i="2" s="1"/>
  <c r="B423" i="2"/>
  <c r="B425" i="2"/>
  <c r="D425" i="2" s="1"/>
  <c r="B429" i="2"/>
  <c r="B430" i="2"/>
  <c r="D430" i="2" s="1"/>
  <c r="B431" i="2"/>
  <c r="D431" i="2" s="1"/>
  <c r="B432" i="2"/>
  <c r="D432" i="2" s="1"/>
  <c r="B435" i="2"/>
  <c r="B436" i="2" s="1"/>
  <c r="D436" i="2" s="1"/>
  <c r="B437" i="2"/>
  <c r="D437" i="2" s="1"/>
  <c r="B438" i="2"/>
  <c r="D438" i="2" s="1"/>
  <c r="B441" i="2"/>
  <c r="B442" i="2"/>
  <c r="D442" i="2" s="1"/>
  <c r="B443" i="2"/>
  <c r="D443" i="2" s="1"/>
  <c r="B444" i="2"/>
  <c r="D444" i="2" s="1"/>
  <c r="B447" i="2"/>
  <c r="B448" i="2" s="1"/>
  <c r="D448" i="2" s="1"/>
  <c r="B450" i="2"/>
  <c r="D450" i="2" s="1"/>
  <c r="B453" i="2"/>
  <c r="B454" i="2"/>
  <c r="D454" i="2" s="1"/>
  <c r="B455" i="2"/>
  <c r="D455" i="2" s="1"/>
  <c r="B456" i="2"/>
  <c r="D456" i="2" s="1"/>
  <c r="B459" i="2"/>
  <c r="B465" i="2"/>
  <c r="B466" i="2"/>
  <c r="D466" i="2" s="1"/>
  <c r="B467" i="2"/>
  <c r="D467" i="2" s="1"/>
  <c r="B468" i="2"/>
  <c r="D468" i="2" s="1"/>
  <c r="B471" i="2"/>
  <c r="B473" i="2"/>
  <c r="D473" i="2" s="1"/>
  <c r="B477" i="2"/>
  <c r="B478" i="2"/>
  <c r="D478" i="2" s="1"/>
  <c r="B479" i="2"/>
  <c r="D479" i="2" s="1"/>
  <c r="B480" i="2"/>
  <c r="D480" i="2" s="1"/>
  <c r="B483" i="2"/>
  <c r="B484" i="2" s="1"/>
  <c r="D484" i="2" s="1"/>
  <c r="B485" i="2"/>
  <c r="D485" i="2" s="1"/>
  <c r="B486" i="2"/>
  <c r="D486" i="2" s="1"/>
  <c r="B489" i="2"/>
  <c r="B490" i="2"/>
  <c r="D490" i="2" s="1"/>
  <c r="B491" i="2"/>
  <c r="D491" i="2" s="1"/>
  <c r="B492" i="2"/>
  <c r="D492" i="2" s="1"/>
  <c r="B495" i="2"/>
  <c r="B496" i="2" s="1"/>
  <c r="D496" i="2" s="1"/>
  <c r="B498" i="2"/>
  <c r="D498" i="2" s="1"/>
  <c r="B501" i="2"/>
  <c r="B502" i="2"/>
  <c r="D502" i="2" s="1"/>
  <c r="B503" i="2"/>
  <c r="D503" i="2" s="1"/>
  <c r="B504" i="2"/>
  <c r="D504" i="2" s="1"/>
  <c r="B507" i="2"/>
  <c r="B513" i="2"/>
  <c r="B514" i="2"/>
  <c r="D514" i="2" s="1"/>
  <c r="B515" i="2"/>
  <c r="D515" i="2" s="1"/>
  <c r="B516" i="2"/>
  <c r="D516" i="2" s="1"/>
  <c r="B519" i="2"/>
  <c r="B525" i="2"/>
  <c r="B526" i="2"/>
  <c r="D526" i="2" s="1"/>
  <c r="B527" i="2"/>
  <c r="D527" i="2" s="1"/>
  <c r="B528" i="2"/>
  <c r="D528" i="2" s="1"/>
  <c r="B531" i="2"/>
  <c r="B532" i="2" s="1"/>
  <c r="D532" i="2" s="1"/>
  <c r="B533" i="2"/>
  <c r="D533" i="2" s="1"/>
  <c r="B534" i="2"/>
  <c r="D534" i="2" s="1"/>
  <c r="B537" i="2"/>
  <c r="B538" i="2"/>
  <c r="D538" i="2" s="1"/>
  <c r="B539" i="2"/>
  <c r="D539" i="2" s="1"/>
  <c r="B540" i="2"/>
  <c r="D540" i="2" s="1"/>
  <c r="B543" i="2"/>
  <c r="B544" i="2" s="1"/>
  <c r="D544" i="2" s="1"/>
  <c r="B545" i="2"/>
  <c r="D545" i="2" s="1"/>
  <c r="B546" i="2"/>
  <c r="D546" i="2" s="1"/>
  <c r="B549" i="2"/>
  <c r="B550" i="2"/>
  <c r="D550" i="2" s="1"/>
  <c r="B551" i="2"/>
  <c r="D551" i="2" s="1"/>
  <c r="B552" i="2"/>
  <c r="D552" i="2" s="1"/>
  <c r="B555" i="2"/>
  <c r="B556" i="2" s="1"/>
  <c r="D556" i="2" s="1"/>
  <c r="B557" i="2"/>
  <c r="D557" i="2" s="1"/>
  <c r="B558" i="2"/>
  <c r="D558" i="2" s="1"/>
  <c r="B561" i="2"/>
  <c r="B562" i="2"/>
  <c r="D562" i="2" s="1"/>
  <c r="B563" i="2"/>
  <c r="D563" i="2" s="1"/>
  <c r="B564" i="2"/>
  <c r="D564" i="2" s="1"/>
  <c r="B567" i="2"/>
  <c r="B568" i="2" s="1"/>
  <c r="D568" i="2" s="1"/>
  <c r="B569" i="2"/>
  <c r="D569" i="2" s="1"/>
  <c r="B570" i="2"/>
  <c r="D570" i="2" s="1"/>
  <c r="B573" i="2"/>
  <c r="B574" i="2"/>
  <c r="D574" i="2" s="1"/>
  <c r="B575" i="2"/>
  <c r="D575" i="2" s="1"/>
  <c r="B576" i="2"/>
  <c r="D576" i="2" s="1"/>
  <c r="B579" i="2"/>
  <c r="B580" i="2" s="1"/>
  <c r="D580" i="2" s="1"/>
  <c r="B581" i="2"/>
  <c r="D581" i="2" s="1"/>
  <c r="B582" i="2"/>
  <c r="D582" i="2" s="1"/>
  <c r="B585" i="2"/>
  <c r="B586" i="2"/>
  <c r="D586" i="2" s="1"/>
  <c r="B587" i="2"/>
  <c r="D587" i="2" s="1"/>
  <c r="B588" i="2"/>
  <c r="D588" i="2" s="1"/>
  <c r="B591" i="2"/>
  <c r="B592" i="2" s="1"/>
  <c r="D592" i="2" s="1"/>
  <c r="B594" i="2"/>
  <c r="D594" i="2" s="1"/>
  <c r="B597" i="2"/>
  <c r="B598" i="2"/>
  <c r="D598" i="2" s="1"/>
  <c r="B599" i="2"/>
  <c r="D599" i="2" s="1"/>
  <c r="B600" i="2"/>
  <c r="D600" i="2" s="1"/>
  <c r="B603" i="2"/>
  <c r="B609" i="2"/>
  <c r="B610" i="2"/>
  <c r="D610" i="2" s="1"/>
  <c r="B611" i="2"/>
  <c r="D611" i="2" s="1"/>
  <c r="B612" i="2"/>
  <c r="D612" i="2" s="1"/>
  <c r="B615" i="2"/>
  <c r="B617" i="2" s="1"/>
  <c r="D617" i="2" s="1"/>
  <c r="B621" i="2"/>
  <c r="B622" i="2"/>
  <c r="D622" i="2" s="1"/>
  <c r="B623" i="2"/>
  <c r="D623" i="2" s="1"/>
  <c r="B624" i="2"/>
  <c r="D624" i="2" s="1"/>
  <c r="B627" i="2"/>
  <c r="B628" i="2" s="1"/>
  <c r="D628" i="2" s="1"/>
  <c r="B629" i="2"/>
  <c r="D629" i="2" s="1"/>
  <c r="B630" i="2"/>
  <c r="D630" i="2" s="1"/>
  <c r="B633" i="2"/>
  <c r="B634" i="2"/>
  <c r="D634" i="2" s="1"/>
  <c r="B635" i="2"/>
  <c r="D635" i="2" s="1"/>
  <c r="B636" i="2"/>
  <c r="D636" i="2" s="1"/>
  <c r="B639" i="2"/>
  <c r="B640" i="2" s="1"/>
  <c r="D640" i="2" s="1"/>
  <c r="B641" i="2"/>
  <c r="D641" i="2" s="1"/>
  <c r="B642" i="2"/>
  <c r="D642" i="2" s="1"/>
  <c r="B645" i="2"/>
  <c r="B646" i="2"/>
  <c r="D646" i="2" s="1"/>
  <c r="B647" i="2"/>
  <c r="D647" i="2" s="1"/>
  <c r="B648" i="2"/>
  <c r="D648" i="2" s="1"/>
  <c r="B651" i="2"/>
  <c r="B657" i="2"/>
  <c r="B658" i="2"/>
  <c r="D658" i="2" s="1"/>
  <c r="B659" i="2"/>
  <c r="D659" i="2" s="1"/>
  <c r="B660" i="2"/>
  <c r="D660" i="2" s="1"/>
  <c r="B663" i="2"/>
  <c r="B665" i="2"/>
  <c r="D665" i="2" s="1"/>
  <c r="B669" i="2"/>
  <c r="B670" i="2"/>
  <c r="D670" i="2" s="1"/>
  <c r="B671" i="2"/>
  <c r="D671" i="2" s="1"/>
  <c r="B672" i="2"/>
  <c r="D672" i="2" s="1"/>
  <c r="B675" i="2"/>
  <c r="B676" i="2" s="1"/>
  <c r="D676" i="2" s="1"/>
  <c r="B677" i="2"/>
  <c r="D677" i="2" s="1"/>
  <c r="B678" i="2"/>
  <c r="D678" i="2" s="1"/>
  <c r="B681" i="2"/>
  <c r="B682" i="2"/>
  <c r="D682" i="2" s="1"/>
  <c r="B683" i="2"/>
  <c r="D683" i="2" s="1"/>
  <c r="B684" i="2"/>
  <c r="D684" i="2" s="1"/>
  <c r="B687" i="2"/>
  <c r="B688" i="2" s="1"/>
  <c r="D688" i="2" s="1"/>
  <c r="B690" i="2"/>
  <c r="D690" i="2" s="1"/>
  <c r="B693" i="2"/>
  <c r="B694" i="2"/>
  <c r="D694" i="2" s="1"/>
  <c r="B695" i="2"/>
  <c r="D695" i="2" s="1"/>
  <c r="B696" i="2"/>
  <c r="D696" i="2" s="1"/>
  <c r="B699" i="2"/>
  <c r="B705" i="2"/>
  <c r="B706" i="2"/>
  <c r="D706" i="2" s="1"/>
  <c r="B707" i="2"/>
  <c r="D707" i="2" s="1"/>
  <c r="B708" i="2"/>
  <c r="D708" i="2" s="1"/>
  <c r="B711" i="2"/>
  <c r="B717" i="2"/>
  <c r="B718" i="2"/>
  <c r="D718" i="2" s="1"/>
  <c r="B719" i="2"/>
  <c r="D719" i="2" s="1"/>
  <c r="B720" i="2"/>
  <c r="D720" i="2" s="1"/>
  <c r="B723" i="2"/>
  <c r="B729" i="2"/>
  <c r="B730" i="2"/>
  <c r="D730" i="2" s="1"/>
  <c r="B731" i="2"/>
  <c r="D731" i="2" s="1"/>
  <c r="B732" i="2"/>
  <c r="D732" i="2" s="1"/>
  <c r="B735" i="2"/>
  <c r="B737" i="2"/>
  <c r="D737" i="2" s="1"/>
  <c r="B741" i="2"/>
  <c r="B742" i="2"/>
  <c r="D742" i="2" s="1"/>
  <c r="B743" i="2"/>
  <c r="D743" i="2" s="1"/>
  <c r="B744" i="2"/>
  <c r="D744" i="2" s="1"/>
  <c r="B747" i="2"/>
  <c r="B748" i="2" s="1"/>
  <c r="D748" i="2" s="1"/>
  <c r="B749" i="2"/>
  <c r="D749" i="2" s="1"/>
  <c r="B753" i="2"/>
  <c r="B754" i="2"/>
  <c r="D754" i="2" s="1"/>
  <c r="B755" i="2"/>
  <c r="D755" i="2" s="1"/>
  <c r="B756" i="2"/>
  <c r="D756" i="2" s="1"/>
  <c r="B759" i="2"/>
  <c r="B760" i="2" s="1"/>
  <c r="D760" i="2" s="1"/>
  <c r="B761" i="2"/>
  <c r="D761" i="2" s="1"/>
  <c r="B762" i="2"/>
  <c r="D762" i="2" s="1"/>
  <c r="B765" i="2"/>
  <c r="B766" i="2"/>
  <c r="D766" i="2" s="1"/>
  <c r="B767" i="2"/>
  <c r="D767" i="2" s="1"/>
  <c r="B768" i="2"/>
  <c r="D768" i="2" s="1"/>
  <c r="B771" i="2"/>
  <c r="B772" i="2" s="1"/>
  <c r="D772" i="2" s="1"/>
  <c r="B773" i="2"/>
  <c r="D773" i="2" s="1"/>
  <c r="B774" i="2"/>
  <c r="D774" i="2" s="1"/>
  <c r="B777" i="2"/>
  <c r="B778" i="2"/>
  <c r="D778" i="2" s="1"/>
  <c r="B779" i="2"/>
  <c r="D779" i="2" s="1"/>
  <c r="B780" i="2"/>
  <c r="D780" i="2" s="1"/>
  <c r="B783" i="2"/>
  <c r="B784" i="2" s="1"/>
  <c r="D784" i="2" s="1"/>
  <c r="B786" i="2"/>
  <c r="D786" i="2" s="1"/>
  <c r="B789" i="2"/>
  <c r="B790" i="2"/>
  <c r="D790" i="2" s="1"/>
  <c r="B791" i="2"/>
  <c r="D791" i="2" s="1"/>
  <c r="B792" i="2"/>
  <c r="D792" i="2" s="1"/>
  <c r="B795" i="2"/>
  <c r="B801" i="2"/>
  <c r="B802" i="2"/>
  <c r="D802" i="2" s="1"/>
  <c r="B803" i="2"/>
  <c r="D803" i="2" s="1"/>
  <c r="B804" i="2"/>
  <c r="D804" i="2" s="1"/>
  <c r="B807" i="2"/>
  <c r="B809" i="2"/>
  <c r="D809" i="2" s="1"/>
  <c r="B813" i="2"/>
  <c r="B814" i="2"/>
  <c r="D814" i="2" s="1"/>
  <c r="B815" i="2"/>
  <c r="D815" i="2" s="1"/>
  <c r="B816" i="2"/>
  <c r="D816" i="2" s="1"/>
  <c r="B819" i="2"/>
  <c r="B820" i="2" s="1"/>
  <c r="D820" i="2" s="1"/>
  <c r="B821" i="2"/>
  <c r="D821" i="2" s="1"/>
  <c r="B822" i="2"/>
  <c r="D822" i="2" s="1"/>
  <c r="B825" i="2"/>
  <c r="B826" i="2"/>
  <c r="D826" i="2" s="1"/>
  <c r="B827" i="2"/>
  <c r="D827" i="2" s="1"/>
  <c r="B828" i="2"/>
  <c r="D828" i="2" s="1"/>
  <c r="B831" i="2"/>
  <c r="B832" i="2" s="1"/>
  <c r="D832" i="2" s="1"/>
  <c r="B833" i="2"/>
  <c r="D833" i="2" s="1"/>
  <c r="B834" i="2"/>
  <c r="D834" i="2" s="1"/>
  <c r="B837" i="2"/>
  <c r="B838" i="2"/>
  <c r="D838" i="2" s="1"/>
  <c r="B839" i="2"/>
  <c r="D839" i="2" s="1"/>
  <c r="B840" i="2"/>
  <c r="D840" i="2" s="1"/>
  <c r="B843" i="2"/>
  <c r="B849" i="2"/>
  <c r="B850" i="2"/>
  <c r="D850" i="2" s="1"/>
  <c r="B851" i="2"/>
  <c r="D851" i="2" s="1"/>
  <c r="B852" i="2"/>
  <c r="D852" i="2" s="1"/>
  <c r="B855" i="2"/>
  <c r="B861" i="2"/>
  <c r="B862" i="2"/>
  <c r="D862" i="2" s="1"/>
  <c r="B863" i="2"/>
  <c r="D863" i="2" s="1"/>
  <c r="B864" i="2"/>
  <c r="D864" i="2" s="1"/>
  <c r="B867" i="2"/>
  <c r="B868" i="2" s="1"/>
  <c r="D868" i="2" s="1"/>
  <c r="B869" i="2"/>
  <c r="D869" i="2" s="1"/>
  <c r="B870" i="2"/>
  <c r="D870" i="2" s="1"/>
  <c r="B873" i="2"/>
  <c r="B874" i="2"/>
  <c r="D874" i="2" s="1"/>
  <c r="B875" i="2"/>
  <c r="D875" i="2" s="1"/>
  <c r="B876" i="2"/>
  <c r="D876" i="2" s="1"/>
  <c r="B879" i="2"/>
  <c r="B880" i="2" s="1"/>
  <c r="D880" i="2" s="1"/>
  <c r="B882" i="2"/>
  <c r="D882" i="2" s="1"/>
  <c r="B885" i="2"/>
  <c r="B886" i="2"/>
  <c r="D886" i="2" s="1"/>
  <c r="B887" i="2"/>
  <c r="D887" i="2" s="1"/>
  <c r="B888" i="2"/>
  <c r="D888" i="2" s="1"/>
  <c r="B891" i="2"/>
  <c r="B897" i="2"/>
  <c r="B898" i="2"/>
  <c r="D898" i="2" s="1"/>
  <c r="B899" i="2"/>
  <c r="D899" i="2" s="1"/>
  <c r="B900" i="2"/>
  <c r="D900" i="2" s="1"/>
  <c r="B903" i="2"/>
  <c r="B909" i="2"/>
  <c r="B910" i="2"/>
  <c r="D910" i="2" s="1"/>
  <c r="B911" i="2"/>
  <c r="D911" i="2" s="1"/>
  <c r="B912" i="2"/>
  <c r="D912" i="2" s="1"/>
  <c r="B915" i="2"/>
  <c r="B917" i="2"/>
  <c r="D917" i="2" s="1"/>
  <c r="B921" i="2"/>
  <c r="B922" i="2"/>
  <c r="D922" i="2" s="1"/>
  <c r="B923" i="2"/>
  <c r="D923" i="2" s="1"/>
  <c r="B924" i="2"/>
  <c r="D924" i="2" s="1"/>
  <c r="B927" i="2"/>
  <c r="B928" i="2" s="1"/>
  <c r="D928" i="2" s="1"/>
  <c r="B929" i="2"/>
  <c r="D929" i="2" s="1"/>
  <c r="B930" i="2"/>
  <c r="D930" i="2" s="1"/>
  <c r="B933" i="2"/>
  <c r="B934" i="2"/>
  <c r="D934" i="2" s="1"/>
  <c r="B935" i="2"/>
  <c r="D935" i="2" s="1"/>
  <c r="B936" i="2"/>
  <c r="D936" i="2" s="1"/>
  <c r="B939" i="2"/>
  <c r="B940" i="2" s="1"/>
  <c r="D940" i="2" s="1"/>
  <c r="B942" i="2"/>
  <c r="D942" i="2" s="1"/>
  <c r="B945" i="2"/>
  <c r="B946" i="2"/>
  <c r="D946" i="2" s="1"/>
  <c r="B947" i="2"/>
  <c r="D947" i="2" s="1"/>
  <c r="B948" i="2"/>
  <c r="D948" i="2" s="1"/>
  <c r="B951" i="2"/>
  <c r="B952" i="2" s="1"/>
  <c r="D952" i="2" s="1"/>
  <c r="B953" i="2"/>
  <c r="D953" i="2" s="1"/>
  <c r="B954" i="2"/>
  <c r="D954" i="2" s="1"/>
  <c r="B957" i="2"/>
  <c r="B958" i="2"/>
  <c r="D958" i="2" s="1"/>
  <c r="B959" i="2"/>
  <c r="D959" i="2" s="1"/>
  <c r="B960" i="2"/>
  <c r="D960" i="2" s="1"/>
  <c r="B963" i="2"/>
  <c r="B964" i="2" s="1"/>
  <c r="D964" i="2" s="1"/>
  <c r="B965" i="2"/>
  <c r="D965" i="2" s="1"/>
  <c r="B966" i="2"/>
  <c r="D966" i="2" s="1"/>
  <c r="B969" i="2"/>
  <c r="B970" i="2"/>
  <c r="D970" i="2" s="1"/>
  <c r="B971" i="2"/>
  <c r="D971" i="2" s="1"/>
  <c r="B972" i="2"/>
  <c r="D972" i="2" s="1"/>
  <c r="B975" i="2"/>
  <c r="B976" i="2" s="1"/>
  <c r="D976" i="2" s="1"/>
  <c r="B978" i="2"/>
  <c r="D978" i="2" s="1"/>
  <c r="B981" i="2"/>
  <c r="B982" i="2"/>
  <c r="D982" i="2" s="1"/>
  <c r="B983" i="2"/>
  <c r="D983" i="2" s="1"/>
  <c r="B984" i="2"/>
  <c r="D984" i="2" s="1"/>
  <c r="B987" i="2"/>
  <c r="B993" i="2"/>
  <c r="B994" i="2"/>
  <c r="D994" i="2" s="1"/>
  <c r="B995" i="2"/>
  <c r="D995" i="2" s="1"/>
  <c r="B996" i="2"/>
  <c r="D996" i="2" s="1"/>
  <c r="B999" i="2"/>
  <c r="B1001" i="2" s="1"/>
  <c r="D1001" i="2" s="1"/>
  <c r="B1005" i="2"/>
  <c r="B1006" i="2"/>
  <c r="D1006" i="2" s="1"/>
  <c r="B1007" i="2"/>
  <c r="D1007" i="2" s="1"/>
  <c r="B1008" i="2"/>
  <c r="D1008" i="2" s="1"/>
  <c r="B1011" i="2"/>
  <c r="B1012" i="2" s="1"/>
  <c r="D1012" i="2" s="1"/>
  <c r="B1013" i="2"/>
  <c r="D1013" i="2" s="1"/>
  <c r="B1014" i="2"/>
  <c r="D1014" i="2" s="1"/>
  <c r="B1017" i="2"/>
  <c r="B1018" i="2"/>
  <c r="D1018" i="2" s="1"/>
  <c r="B1019" i="2"/>
  <c r="D1019" i="2" s="1"/>
  <c r="B1020" i="2"/>
  <c r="D1020" i="2" s="1"/>
  <c r="B1023" i="2"/>
  <c r="B1024" i="2" s="1"/>
  <c r="D1024" i="2" s="1"/>
  <c r="B1025" i="2"/>
  <c r="D1025" i="2" s="1"/>
  <c r="B1026" i="2"/>
  <c r="D1026" i="2" s="1"/>
  <c r="B1029" i="2"/>
  <c r="B1030" i="2"/>
  <c r="D1030" i="2" s="1"/>
  <c r="B1031" i="2"/>
  <c r="D1031" i="2" s="1"/>
  <c r="B1032" i="2"/>
  <c r="D1032" i="2" s="1"/>
  <c r="B1035" i="2"/>
  <c r="B1041" i="2"/>
  <c r="B1042" i="2"/>
  <c r="D1042" i="2" s="1"/>
  <c r="B1043" i="2"/>
  <c r="D1043" i="2" s="1"/>
  <c r="B1044" i="2"/>
  <c r="D1044" i="2" s="1"/>
  <c r="B1047" i="2"/>
  <c r="B1049" i="2"/>
  <c r="D1049" i="2" s="1"/>
  <c r="B1053" i="2"/>
  <c r="B1054" i="2"/>
  <c r="D1054" i="2" s="1"/>
  <c r="B1055" i="2"/>
  <c r="D1055" i="2" s="1"/>
  <c r="B1056" i="2"/>
  <c r="D1056" i="2" s="1"/>
  <c r="B1059" i="2"/>
  <c r="B1060" i="2" s="1"/>
  <c r="D1060" i="2" s="1"/>
  <c r="B1061" i="2"/>
  <c r="D1061" i="2" s="1"/>
  <c r="B1062" i="2"/>
  <c r="D1062" i="2" s="1"/>
  <c r="B1065" i="2"/>
  <c r="B1066" i="2"/>
  <c r="D1066" i="2" s="1"/>
  <c r="B1067" i="2"/>
  <c r="D1067" i="2" s="1"/>
  <c r="B1068" i="2"/>
  <c r="D1068" i="2" s="1"/>
  <c r="B1071" i="2"/>
  <c r="B1077" i="2"/>
  <c r="B1078" i="2"/>
  <c r="D1078" i="2" s="1"/>
  <c r="B1079" i="2"/>
  <c r="D1079" i="2" s="1"/>
  <c r="B1080" i="2"/>
  <c r="D1080" i="2" s="1"/>
  <c r="B1083" i="2"/>
  <c r="B1085" i="2"/>
  <c r="D1085" i="2" s="1"/>
  <c r="B1089" i="2"/>
  <c r="B1090" i="2"/>
  <c r="D1090" i="2" s="1"/>
  <c r="B1091" i="2"/>
  <c r="D1091" i="2" s="1"/>
  <c r="B1092" i="2"/>
  <c r="D1092" i="2" s="1"/>
  <c r="B1095" i="2"/>
  <c r="B1096" i="2" s="1"/>
  <c r="D1096" i="2" s="1"/>
  <c r="B1097" i="2"/>
  <c r="D1097" i="2" s="1"/>
  <c r="B1098" i="2"/>
  <c r="D1098" i="2" s="1"/>
  <c r="B1101" i="2"/>
  <c r="B1102" i="2"/>
  <c r="D1102" i="2" s="1"/>
  <c r="B1103" i="2"/>
  <c r="D1103" i="2" s="1"/>
  <c r="B1104" i="2"/>
  <c r="D1104" i="2" s="1"/>
  <c r="B1107" i="2"/>
  <c r="B1113" i="2"/>
  <c r="B1114" i="2"/>
  <c r="D1114" i="2" s="1"/>
  <c r="B1115" i="2"/>
  <c r="D1115" i="2" s="1"/>
  <c r="B1116" i="2"/>
  <c r="D1116" i="2" s="1"/>
  <c r="B1119" i="2"/>
  <c r="B1125" i="2"/>
  <c r="B1126" i="2"/>
  <c r="D1126" i="2" s="1"/>
  <c r="B1127" i="2"/>
  <c r="D1127" i="2" s="1"/>
  <c r="B1128" i="2"/>
  <c r="D1128" i="2" s="1"/>
  <c r="B1131" i="2"/>
  <c r="B1132" i="2" s="1"/>
  <c r="D1132" i="2" s="1"/>
  <c r="B1133" i="2"/>
  <c r="D1133" i="2" s="1"/>
  <c r="B1134" i="2"/>
  <c r="D1134" i="2" s="1"/>
  <c r="B1137" i="2"/>
  <c r="B1138" i="2"/>
  <c r="D1138" i="2" s="1"/>
  <c r="B1139" i="2"/>
  <c r="D1139" i="2" s="1"/>
  <c r="B1140" i="2"/>
  <c r="D1140" i="2" s="1"/>
  <c r="B1143" i="2"/>
  <c r="B1144" i="2" s="1"/>
  <c r="D1144" i="2" s="1"/>
  <c r="B1146" i="2"/>
  <c r="D1146" i="2" s="1"/>
  <c r="B1149" i="2"/>
  <c r="B1150" i="2"/>
  <c r="D1150" i="2" s="1"/>
  <c r="B1151" i="2"/>
  <c r="D1151" i="2" s="1"/>
  <c r="B1152" i="2"/>
  <c r="D1152" i="2" s="1"/>
  <c r="B1155" i="2"/>
  <c r="B1156" i="2" s="1"/>
  <c r="D1156" i="2" s="1"/>
  <c r="B1157" i="2"/>
  <c r="D1157" i="2" s="1"/>
  <c r="B1158" i="2"/>
  <c r="D1158" i="2" s="1"/>
  <c r="B1161" i="2"/>
  <c r="B1162" i="2"/>
  <c r="D1162" i="2" s="1"/>
  <c r="B1163" i="2"/>
  <c r="D1163" i="2" s="1"/>
  <c r="B1164" i="2"/>
  <c r="D1164" i="2" s="1"/>
  <c r="B1167" i="2"/>
  <c r="B1170" i="2"/>
  <c r="D1170" i="2" s="1"/>
  <c r="B1173" i="2"/>
  <c r="B1174" i="2"/>
  <c r="D1174" i="2" s="1"/>
  <c r="B1175" i="2"/>
  <c r="D1175" i="2" s="1"/>
  <c r="B1176" i="2"/>
  <c r="D1176" i="2" s="1"/>
  <c r="B1179" i="2"/>
  <c r="B1181" i="2"/>
  <c r="D1181" i="2" s="1"/>
  <c r="B1185" i="2"/>
  <c r="B1186" i="2"/>
  <c r="D1186" i="2" s="1"/>
  <c r="B1187" i="2"/>
  <c r="D1187" i="2" s="1"/>
  <c r="B1188" i="2"/>
  <c r="D1188" i="2" s="1"/>
  <c r="B1191" i="2"/>
  <c r="B1192" i="2"/>
  <c r="D1192" i="2" s="1"/>
  <c r="B1197" i="2"/>
  <c r="B1198" i="2"/>
  <c r="D1198" i="2" s="1"/>
  <c r="B1199" i="2"/>
  <c r="D1199" i="2" s="1"/>
  <c r="B1200" i="2"/>
  <c r="D1200" i="2" s="1"/>
  <c r="B1203" i="2"/>
  <c r="B1206" i="2" s="1"/>
  <c r="D1206" i="2" s="1"/>
  <c r="B1205" i="2"/>
  <c r="D1205" i="2" s="1"/>
  <c r="B1209" i="2"/>
  <c r="B1210" i="2"/>
  <c r="D1210" i="2" s="1"/>
  <c r="B1211" i="2"/>
  <c r="D1211" i="2" s="1"/>
  <c r="B1212" i="2"/>
  <c r="D1212" i="2" s="1"/>
  <c r="B1215" i="2"/>
  <c r="B1218" i="2" s="1"/>
  <c r="D1218" i="2" s="1"/>
  <c r="B1216" i="2"/>
  <c r="D1216" i="2" s="1"/>
  <c r="B1221" i="2"/>
  <c r="B1222" i="2"/>
  <c r="D1222" i="2" s="1"/>
  <c r="B1223" i="2"/>
  <c r="D1223" i="2" s="1"/>
  <c r="B1224" i="2"/>
  <c r="D1224" i="2" s="1"/>
  <c r="B1227" i="2"/>
  <c r="B1230" i="2" s="1"/>
  <c r="D1230" i="2" s="1"/>
  <c r="B1228" i="2"/>
  <c r="D1228" i="2" s="1"/>
  <c r="B1229" i="2"/>
  <c r="D1229" i="2" s="1"/>
  <c r="B1233" i="2"/>
  <c r="B1234" i="2"/>
  <c r="D1234" i="2" s="1"/>
  <c r="B1235" i="2"/>
  <c r="D1235" i="2" s="1"/>
  <c r="B1236" i="2"/>
  <c r="D1236" i="2" s="1"/>
  <c r="B1239" i="2"/>
  <c r="B1242" i="2" s="1"/>
  <c r="D1242" i="2" s="1"/>
  <c r="B1240" i="2"/>
  <c r="D1240" i="2" s="1"/>
  <c r="B1241" i="2"/>
  <c r="D1241" i="2" s="1"/>
  <c r="B1245" i="2"/>
  <c r="B1246" i="2"/>
  <c r="D1246" i="2" s="1"/>
  <c r="B1247" i="2"/>
  <c r="D1247" i="2" s="1"/>
  <c r="B1248" i="2"/>
  <c r="D1248" i="2" s="1"/>
  <c r="B1251" i="2"/>
  <c r="B1254" i="2" s="1"/>
  <c r="D1254" i="2" s="1"/>
  <c r="B1252" i="2"/>
  <c r="D1252" i="2" s="1"/>
  <c r="B1253" i="2"/>
  <c r="D1253" i="2" s="1"/>
  <c r="B1257" i="2"/>
  <c r="B1258" i="2"/>
  <c r="D1258" i="2" s="1"/>
  <c r="B1259" i="2"/>
  <c r="D1259" i="2" s="1"/>
  <c r="B1260" i="2"/>
  <c r="D1260" i="2" s="1"/>
  <c r="B1263" i="2"/>
  <c r="B1266" i="2" s="1"/>
  <c r="D1266" i="2" s="1"/>
  <c r="B1264" i="2"/>
  <c r="D1264" i="2" s="1"/>
  <c r="B1265" i="2"/>
  <c r="D1265" i="2" s="1"/>
  <c r="B1269" i="2"/>
  <c r="B1270" i="2"/>
  <c r="D1270" i="2" s="1"/>
  <c r="B1271" i="2"/>
  <c r="D1271" i="2" s="1"/>
  <c r="B1272" i="2"/>
  <c r="D1272" i="2" s="1"/>
  <c r="B1275" i="2"/>
  <c r="B1281" i="2"/>
  <c r="B1282" i="2"/>
  <c r="D1282" i="2" s="1"/>
  <c r="B1283" i="2"/>
  <c r="D1283" i="2" s="1"/>
  <c r="B1284" i="2"/>
  <c r="D1284" i="2" s="1"/>
  <c r="B1287" i="2"/>
  <c r="B1288" i="2"/>
  <c r="D1288" i="2" s="1"/>
  <c r="B1293" i="2"/>
  <c r="B1294" i="2"/>
  <c r="D1294" i="2" s="1"/>
  <c r="B1295" i="2"/>
  <c r="D1295" i="2" s="1"/>
  <c r="B1296" i="2"/>
  <c r="D1296" i="2" s="1"/>
  <c r="B1299" i="2"/>
  <c r="B1302" i="2" s="1"/>
  <c r="D1302" i="2" s="1"/>
  <c r="B1301" i="2"/>
  <c r="D1301" i="2" s="1"/>
  <c r="B1305" i="2"/>
  <c r="B1306" i="2"/>
  <c r="D1306" i="2" s="1"/>
  <c r="B1307" i="2"/>
  <c r="D1307" i="2" s="1"/>
  <c r="B1308" i="2"/>
  <c r="D1308" i="2" s="1"/>
  <c r="B1311" i="2"/>
  <c r="B1314" i="2" s="1"/>
  <c r="D1314" i="2" s="1"/>
  <c r="B1312" i="2"/>
  <c r="D1312" i="2" s="1"/>
  <c r="B1313" i="2"/>
  <c r="D1313" i="2" s="1"/>
  <c r="B1317" i="2"/>
  <c r="B1318" i="2"/>
  <c r="D1318" i="2" s="1"/>
  <c r="B1319" i="2"/>
  <c r="D1319" i="2" s="1"/>
  <c r="B1320" i="2"/>
  <c r="D1320" i="2" s="1"/>
  <c r="B1323" i="2"/>
  <c r="B1329" i="2"/>
  <c r="B1330" i="2"/>
  <c r="D1330" i="2" s="1"/>
  <c r="B1331" i="2"/>
  <c r="D1331" i="2" s="1"/>
  <c r="B1332" i="2"/>
  <c r="D1332" i="2" s="1"/>
  <c r="B1335" i="2"/>
  <c r="B1338" i="2" s="1"/>
  <c r="D1338" i="2" s="1"/>
  <c r="B1336" i="2"/>
  <c r="D1336" i="2" s="1"/>
  <c r="B1337" i="2"/>
  <c r="D1337" i="2" s="1"/>
  <c r="B1341" i="2"/>
  <c r="B1342" i="2"/>
  <c r="D1342" i="2" s="1"/>
  <c r="B1343" i="2"/>
  <c r="D1343" i="2" s="1"/>
  <c r="B1344" i="2"/>
  <c r="D1344" i="2" s="1"/>
  <c r="B1347" i="2"/>
  <c r="B1350" i="2" s="1"/>
  <c r="D1350" i="2" s="1"/>
  <c r="B1348" i="2"/>
  <c r="D1348" i="2" s="1"/>
  <c r="B1349" i="2"/>
  <c r="D1349" i="2" s="1"/>
  <c r="B1353" i="2"/>
  <c r="B1354" i="2"/>
  <c r="D1354" i="2" s="1"/>
  <c r="B1355" i="2"/>
  <c r="D1355" i="2" s="1"/>
  <c r="B1356" i="2"/>
  <c r="D1356" i="2" s="1"/>
  <c r="B1359" i="2"/>
  <c r="B1362" i="2" s="1"/>
  <c r="D1362" i="2" s="1"/>
  <c r="B1360" i="2"/>
  <c r="D1360" i="2" s="1"/>
  <c r="B1361" i="2"/>
  <c r="D1361" i="2" s="1"/>
  <c r="B1365" i="2"/>
  <c r="B1366" i="2"/>
  <c r="D1366" i="2" s="1"/>
  <c r="B1367" i="2"/>
  <c r="D1367" i="2" s="1"/>
  <c r="B1368" i="2"/>
  <c r="D1368" i="2" s="1"/>
  <c r="B1371" i="2"/>
  <c r="B1377" i="2"/>
  <c r="B1378" i="2"/>
  <c r="D1378" i="2" s="1"/>
  <c r="B1379" i="2"/>
  <c r="D1379" i="2" s="1"/>
  <c r="B1380" i="2"/>
  <c r="D1380" i="2" s="1"/>
  <c r="B1383" i="2"/>
  <c r="B1384" i="2"/>
  <c r="D1384" i="2" s="1"/>
  <c r="B1389" i="2"/>
  <c r="B1390" i="2"/>
  <c r="D1390" i="2" s="1"/>
  <c r="B1391" i="2"/>
  <c r="D1391" i="2" s="1"/>
  <c r="B1392" i="2"/>
  <c r="D1392" i="2" s="1"/>
  <c r="B1395" i="2"/>
  <c r="B1396" i="2"/>
  <c r="D1396" i="2" s="1"/>
  <c r="B1401" i="2"/>
  <c r="B1402" i="2"/>
  <c r="D1402" i="2" s="1"/>
  <c r="B1403" i="2"/>
  <c r="D1403" i="2" s="1"/>
  <c r="B1404" i="2"/>
  <c r="D1404" i="2" s="1"/>
  <c r="B1407" i="2"/>
  <c r="B1410" i="2" s="1"/>
  <c r="D1410" i="2" s="1"/>
  <c r="B1408" i="2"/>
  <c r="D1408" i="2" s="1"/>
  <c r="B1413" i="2"/>
  <c r="B1414" i="2"/>
  <c r="D1414" i="2" s="1"/>
  <c r="B1415" i="2"/>
  <c r="D1415" i="2" s="1"/>
  <c r="B1416" i="2"/>
  <c r="D1416" i="2" s="1"/>
  <c r="B1419" i="2"/>
  <c r="B1421" i="2"/>
  <c r="D1421" i="2" s="1"/>
  <c r="B1425" i="2"/>
  <c r="B1426" i="2"/>
  <c r="D1426" i="2" s="1"/>
  <c r="B1427" i="2"/>
  <c r="D1427" i="2" s="1"/>
  <c r="B1428" i="2"/>
  <c r="D1428" i="2" s="1"/>
  <c r="B1431" i="2"/>
  <c r="B1432" i="2"/>
  <c r="D1432" i="2" s="1"/>
  <c r="B1437" i="2"/>
  <c r="B1438" i="2"/>
  <c r="D1438" i="2" s="1"/>
  <c r="B1439" i="2"/>
  <c r="D1439" i="2" s="1"/>
  <c r="B1440" i="2"/>
  <c r="D1440" i="2" s="1"/>
  <c r="B1443" i="2"/>
  <c r="B1446" i="2" s="1"/>
  <c r="D1446" i="2" s="1"/>
  <c r="B1444" i="2"/>
  <c r="D1444" i="2" s="1"/>
  <c r="B1445" i="2"/>
  <c r="D1445" i="2" s="1"/>
  <c r="B1449" i="2"/>
  <c r="B1450" i="2"/>
  <c r="D1450" i="2" s="1"/>
  <c r="B1451" i="2"/>
  <c r="D1451" i="2" s="1"/>
  <c r="B1452" i="2"/>
  <c r="D1452" i="2" s="1"/>
  <c r="B1455" i="2"/>
  <c r="B1458" i="2" s="1"/>
  <c r="D1458" i="2" s="1"/>
  <c r="B1456" i="2"/>
  <c r="D1456" i="2" s="1"/>
  <c r="B1457" i="2"/>
  <c r="D1457" i="2" s="1"/>
  <c r="B1461" i="2"/>
  <c r="B1462" i="2"/>
  <c r="D1462" i="2" s="1"/>
  <c r="B1463" i="2"/>
  <c r="D1463" i="2" s="1"/>
  <c r="B1464" i="2"/>
  <c r="D1464" i="2" s="1"/>
  <c r="B1467" i="2"/>
  <c r="B1473" i="2"/>
  <c r="B1474" i="2"/>
  <c r="D1474" i="2" s="1"/>
  <c r="B1475" i="2"/>
  <c r="D1475" i="2" s="1"/>
  <c r="B1476" i="2"/>
  <c r="D1476" i="2" s="1"/>
  <c r="B1479" i="2"/>
  <c r="B1480" i="2"/>
  <c r="D1480" i="2" s="1"/>
  <c r="B1485" i="2"/>
  <c r="B1486" i="2"/>
  <c r="D1486" i="2" s="1"/>
  <c r="B1487" i="2"/>
  <c r="D1487" i="2" s="1"/>
  <c r="B1488" i="2"/>
  <c r="D1488" i="2" s="1"/>
  <c r="B1491" i="2"/>
  <c r="B1492" i="2"/>
  <c r="D1492" i="2" s="1"/>
  <c r="B1497" i="2"/>
  <c r="B1498" i="2"/>
  <c r="D1498" i="2" s="1"/>
  <c r="B1499" i="2"/>
  <c r="D1499" i="2" s="1"/>
  <c r="B1500" i="2"/>
  <c r="D1500" i="2" s="1"/>
  <c r="B1503" i="2"/>
  <c r="B1506" i="2" s="1"/>
  <c r="D1506" i="2" s="1"/>
  <c r="B1504" i="2"/>
  <c r="D1504" i="2" s="1"/>
  <c r="B1505" i="2"/>
  <c r="D1505" i="2" s="1"/>
  <c r="B1509" i="2"/>
  <c r="B1512" i="2"/>
  <c r="D1512" i="2" s="1"/>
  <c r="B1515" i="2"/>
  <c r="B1521" i="2"/>
  <c r="B1522" i="2"/>
  <c r="D1522" i="2" s="1"/>
  <c r="B1527" i="2"/>
  <c r="B1530" i="2" s="1"/>
  <c r="D1530" i="2" s="1"/>
  <c r="B1533" i="2"/>
  <c r="B1539" i="2"/>
  <c r="B1542" i="2" s="1"/>
  <c r="D1542" i="2" s="1"/>
  <c r="B1540" i="2"/>
  <c r="D1540" i="2" s="1"/>
  <c r="B1541" i="2"/>
  <c r="D1541" i="2" s="1"/>
  <c r="B1545" i="2"/>
  <c r="B1548" i="2" s="1"/>
  <c r="D1548" i="2" s="1"/>
  <c r="B1546" i="2"/>
  <c r="D1546" i="2" s="1"/>
  <c r="B1547" i="2"/>
  <c r="D1547" i="2" s="1"/>
  <c r="B1551" i="2"/>
  <c r="B1554" i="2" s="1"/>
  <c r="D1554" i="2" s="1"/>
  <c r="B1552" i="2"/>
  <c r="D1552" i="2" s="1"/>
  <c r="B1553" i="2"/>
  <c r="D1553" i="2" s="1"/>
  <c r="B1557" i="2"/>
  <c r="B1559" i="2" s="1"/>
  <c r="D1559" i="2" s="1"/>
  <c r="B1558" i="2"/>
  <c r="D1558" i="2" s="1"/>
  <c r="B1560" i="2"/>
  <c r="D1560" i="2" s="1"/>
  <c r="B1563" i="2"/>
  <c r="B1569" i="2"/>
  <c r="B1570" i="2" s="1"/>
  <c r="D1570" i="2" s="1"/>
  <c r="B1571" i="2"/>
  <c r="D1571" i="2" s="1"/>
  <c r="B1572" i="2"/>
  <c r="D1572" i="2" s="1"/>
  <c r="B1575" i="2"/>
  <c r="B1576" i="2"/>
  <c r="D1576" i="2" s="1"/>
  <c r="B1581" i="2"/>
  <c r="B1582" i="2"/>
  <c r="D1582" i="2" s="1"/>
  <c r="B1583" i="2"/>
  <c r="D1583" i="2" s="1"/>
  <c r="B1584" i="2"/>
  <c r="D1584" i="2" s="1"/>
  <c r="B1587" i="2"/>
  <c r="B1590" i="2" s="1"/>
  <c r="D1590" i="2" s="1"/>
  <c r="B1588" i="2"/>
  <c r="D1588" i="2" s="1"/>
  <c r="B1589" i="2"/>
  <c r="D1589" i="2" s="1"/>
  <c r="B1593" i="2"/>
  <c r="B1594" i="2"/>
  <c r="D1594" i="2" s="1"/>
  <c r="B1595" i="2"/>
  <c r="D1595" i="2" s="1"/>
  <c r="B1596" i="2"/>
  <c r="D1596" i="2" s="1"/>
  <c r="B1599" i="2"/>
  <c r="B1602" i="2" s="1"/>
  <c r="D1602" i="2" s="1"/>
  <c r="B1600" i="2"/>
  <c r="D1600" i="2" s="1"/>
  <c r="B1601" i="2"/>
  <c r="D1601" i="2" s="1"/>
  <c r="B1605" i="2"/>
  <c r="B1608" i="2"/>
  <c r="D1608" i="2" s="1"/>
  <c r="B1611" i="2"/>
  <c r="B1617" i="2"/>
  <c r="B1618" i="2"/>
  <c r="D1618" i="2" s="1"/>
  <c r="B1623" i="2"/>
  <c r="B1625" i="2" s="1"/>
  <c r="D1625" i="2" s="1"/>
  <c r="B1629" i="2"/>
  <c r="B1635" i="2"/>
  <c r="B1638" i="2" s="1"/>
  <c r="D1638" i="2" s="1"/>
  <c r="B1636" i="2"/>
  <c r="D1636" i="2" s="1"/>
  <c r="B1637" i="2"/>
  <c r="D1637" i="2" s="1"/>
  <c r="B1641" i="2"/>
  <c r="B1647" i="2"/>
  <c r="B1650" i="2" s="1"/>
  <c r="D1650" i="2" s="1"/>
  <c r="B1648" i="2"/>
  <c r="D1648" i="2" s="1"/>
  <c r="B1649" i="2"/>
  <c r="D1649" i="2" s="1"/>
  <c r="B1653" i="2"/>
  <c r="B1654" i="2"/>
  <c r="D1654" i="2" s="1"/>
  <c r="B1655" i="2"/>
  <c r="D1655" i="2" s="1"/>
  <c r="B1656" i="2"/>
  <c r="D1656" i="2" s="1"/>
  <c r="B1659" i="2"/>
  <c r="B1665" i="2"/>
  <c r="B1666" i="2" s="1"/>
  <c r="D1666" i="2" s="1"/>
  <c r="B1667" i="2"/>
  <c r="D1667" i="2" s="1"/>
  <c r="B1668" i="2"/>
  <c r="D1668" i="2" s="1"/>
  <c r="B1671" i="2"/>
  <c r="B1672" i="2"/>
  <c r="D1672" i="2" s="1"/>
  <c r="B1677" i="2"/>
  <c r="B1678" i="2"/>
  <c r="D1678" i="2" s="1"/>
  <c r="B1679" i="2"/>
  <c r="D1679" i="2" s="1"/>
  <c r="B1680" i="2"/>
  <c r="D1680" i="2" s="1"/>
  <c r="B1683" i="2"/>
  <c r="B1686" i="2" s="1"/>
  <c r="D1686" i="2" s="1"/>
  <c r="B1684" i="2"/>
  <c r="D1684" i="2" s="1"/>
  <c r="B1689" i="2"/>
  <c r="B1690" i="2"/>
  <c r="D1690" i="2" s="1"/>
  <c r="B1691" i="2"/>
  <c r="D1691" i="2" s="1"/>
  <c r="B1692" i="2"/>
  <c r="D1692" i="2" s="1"/>
  <c r="B1695" i="2"/>
  <c r="B1698" i="2" s="1"/>
  <c r="D1698" i="2" s="1"/>
  <c r="B1696" i="2"/>
  <c r="D1696" i="2" s="1"/>
  <c r="B1697" i="2"/>
  <c r="D1697" i="2" s="1"/>
  <c r="B1701" i="2"/>
  <c r="B1704" i="2"/>
  <c r="D1704" i="2" s="1"/>
  <c r="B1707" i="2"/>
  <c r="B1713" i="2"/>
  <c r="B1714" i="2"/>
  <c r="D1714" i="2" s="1"/>
  <c r="B1719" i="2"/>
  <c r="B1721" i="2" s="1"/>
  <c r="D1721" i="2" s="1"/>
  <c r="B1725" i="2"/>
  <c r="B1731" i="2"/>
  <c r="B1734" i="2" s="1"/>
  <c r="D1734" i="2" s="1"/>
  <c r="B1732" i="2"/>
  <c r="D1732" i="2" s="1"/>
  <c r="B1733" i="2"/>
  <c r="D1733" i="2" s="1"/>
  <c r="B1737" i="2"/>
  <c r="B1740" i="2" s="1"/>
  <c r="D1740" i="2" s="1"/>
  <c r="B1738" i="2"/>
  <c r="D1738" i="2" s="1"/>
  <c r="B1739" i="2"/>
  <c r="D1739" i="2" s="1"/>
  <c r="B1743" i="2"/>
  <c r="B1746" i="2" s="1"/>
  <c r="D1746" i="2" s="1"/>
  <c r="B1744" i="2"/>
  <c r="D1744" i="2" s="1"/>
  <c r="B1745" i="2"/>
  <c r="D1745" i="2" s="1"/>
  <c r="B1749" i="2"/>
  <c r="B1751" i="2" s="1"/>
  <c r="D1751" i="2" s="1"/>
  <c r="B1750" i="2"/>
  <c r="D1750" i="2" s="1"/>
  <c r="B1752" i="2"/>
  <c r="D1752" i="2" s="1"/>
  <c r="B1755" i="2"/>
  <c r="B1761" i="2"/>
  <c r="B1762" i="2" s="1"/>
  <c r="D1762" i="2" s="1"/>
  <c r="B1763" i="2"/>
  <c r="D1763" i="2" s="1"/>
  <c r="B1764" i="2"/>
  <c r="D1764" i="2" s="1"/>
  <c r="B1767" i="2"/>
  <c r="B1768" i="2"/>
  <c r="D1768" i="2" s="1"/>
  <c r="B1773" i="2"/>
  <c r="B1774" i="2"/>
  <c r="D1774" i="2" s="1"/>
  <c r="B1775" i="2"/>
  <c r="D1775" i="2" s="1"/>
  <c r="B1776" i="2"/>
  <c r="D1776" i="2" s="1"/>
  <c r="B1779" i="2"/>
  <c r="B1782" i="2" s="1"/>
  <c r="D1782" i="2" s="1"/>
  <c r="B1780" i="2"/>
  <c r="D1780" i="2" s="1"/>
  <c r="B1781" i="2"/>
  <c r="D1781" i="2" s="1"/>
  <c r="B1785" i="2"/>
  <c r="B1786" i="2"/>
  <c r="D1786" i="2" s="1"/>
  <c r="B1787" i="2"/>
  <c r="D1787" i="2" s="1"/>
  <c r="B1788" i="2"/>
  <c r="D1788" i="2" s="1"/>
  <c r="B1791" i="2"/>
  <c r="B1794" i="2" s="1"/>
  <c r="D1794" i="2" s="1"/>
  <c r="B1792" i="2"/>
  <c r="D1792" i="2" s="1"/>
  <c r="B1793" i="2"/>
  <c r="D1793" i="2" s="1"/>
  <c r="B1797" i="2"/>
  <c r="B1800" i="2"/>
  <c r="D1800" i="2" s="1"/>
  <c r="B1803" i="2"/>
  <c r="B1809" i="2"/>
  <c r="B1810" i="2"/>
  <c r="D1810" i="2" s="1"/>
  <c r="B1815" i="2"/>
  <c r="B1817" i="2" s="1"/>
  <c r="D1817" i="2" s="1"/>
  <c r="B1821" i="2"/>
  <c r="B1827" i="2"/>
  <c r="B1830" i="2" s="1"/>
  <c r="D1830" i="2" s="1"/>
  <c r="B1828" i="2"/>
  <c r="D1828" i="2" s="1"/>
  <c r="B1829" i="2"/>
  <c r="D1829" i="2" s="1"/>
  <c r="B1833" i="2"/>
  <c r="B1836" i="2" s="1"/>
  <c r="D1836" i="2" s="1"/>
  <c r="B1834" i="2"/>
  <c r="D1834" i="2" s="1"/>
  <c r="B1839" i="2"/>
  <c r="B1842" i="2" s="1"/>
  <c r="D1842" i="2" s="1"/>
  <c r="B1840" i="2"/>
  <c r="D1840" i="2" s="1"/>
  <c r="B1841" i="2"/>
  <c r="D1841" i="2" s="1"/>
  <c r="B1845" i="2"/>
  <c r="B1846" i="2"/>
  <c r="D1846" i="2" s="1"/>
  <c r="B1847" i="2"/>
  <c r="D1847" i="2" s="1"/>
  <c r="B1848" i="2"/>
  <c r="D1848" i="2" s="1"/>
  <c r="B1851" i="2"/>
  <c r="B1857" i="2"/>
  <c r="B1858" i="2" s="1"/>
  <c r="D1858" i="2" s="1"/>
  <c r="B1859" i="2"/>
  <c r="D1859" i="2" s="1"/>
  <c r="B1860" i="2"/>
  <c r="D1860" i="2" s="1"/>
  <c r="B1863" i="2"/>
  <c r="B1864" i="2"/>
  <c r="D1864" i="2" s="1"/>
  <c r="B1869" i="2"/>
  <c r="B1870" i="2"/>
  <c r="D1870" i="2" s="1"/>
  <c r="B1871" i="2"/>
  <c r="D1871" i="2" s="1"/>
  <c r="B1872" i="2"/>
  <c r="D1872" i="2" s="1"/>
  <c r="B1875" i="2"/>
  <c r="B1876" i="2" s="1"/>
  <c r="D1876" i="2" s="1"/>
  <c r="B1881" i="2"/>
  <c r="B1882" i="2"/>
  <c r="D1882" i="2" s="1"/>
  <c r="B1883" i="2"/>
  <c r="D1883" i="2" s="1"/>
  <c r="B1884" i="2"/>
  <c r="D1884" i="2" s="1"/>
  <c r="B1887" i="2"/>
  <c r="B1890" i="2" s="1"/>
  <c r="D1890" i="2" s="1"/>
  <c r="B1888" i="2"/>
  <c r="D1888" i="2" s="1"/>
  <c r="B1889" i="2"/>
  <c r="D1889" i="2" s="1"/>
  <c r="B1893" i="2"/>
  <c r="B1894" i="2" s="1"/>
  <c r="D1894" i="2" s="1"/>
  <c r="B1895" i="2"/>
  <c r="D1895" i="2" s="1"/>
  <c r="B1896" i="2"/>
  <c r="D1896" i="2" s="1"/>
  <c r="B1899" i="2"/>
  <c r="B1902" i="2" s="1"/>
  <c r="D1902" i="2" s="1"/>
  <c r="B1900" i="2"/>
  <c r="D1900" i="2" s="1"/>
  <c r="B1901" i="2"/>
  <c r="D1901" i="2" s="1"/>
  <c r="B1905" i="2"/>
  <c r="B1906" i="2" s="1"/>
  <c r="D1906" i="2" s="1"/>
  <c r="B1911" i="2"/>
  <c r="B1917" i="2"/>
  <c r="B1920" i="2" s="1"/>
  <c r="D1920" i="2" s="1"/>
  <c r="B1919" i="2"/>
  <c r="D1919" i="2" s="1"/>
  <c r="B1923" i="2"/>
  <c r="B1926" i="2" s="1"/>
  <c r="D1926" i="2" s="1"/>
  <c r="B1924" i="2"/>
  <c r="D1924" i="2" s="1"/>
  <c r="B1925" i="2"/>
  <c r="D1925" i="2" s="1"/>
  <c r="B1929" i="2"/>
  <c r="B1935" i="2"/>
  <c r="B1938" i="2" s="1"/>
  <c r="D1938" i="2" s="1"/>
  <c r="B1936" i="2"/>
  <c r="D1936" i="2" s="1"/>
  <c r="B1937" i="2"/>
  <c r="D1937" i="2" s="1"/>
  <c r="B1941" i="2"/>
  <c r="B1942" i="2"/>
  <c r="D1942" i="2" s="1"/>
  <c r="B1947" i="2"/>
  <c r="B1948" i="2" s="1"/>
  <c r="D1948" i="2" s="1"/>
  <c r="B1949" i="2"/>
  <c r="D1949" i="2" s="1"/>
  <c r="B1950" i="2"/>
  <c r="D1950" i="2" s="1"/>
  <c r="B1953" i="2"/>
  <c r="B1955" i="2" s="1"/>
  <c r="D1955" i="2" s="1"/>
  <c r="B1959" i="2"/>
  <c r="B1960" i="2" s="1"/>
  <c r="D1960" i="2" s="1"/>
  <c r="B1962" i="2"/>
  <c r="D1962" i="2" s="1"/>
  <c r="B1965" i="2"/>
  <c r="B1967" i="2" s="1"/>
  <c r="D1967" i="2" s="1"/>
  <c r="B1966" i="2"/>
  <c r="D1966" i="2" s="1"/>
  <c r="B1968" i="2"/>
  <c r="D1968" i="2" s="1"/>
  <c r="B1971" i="2"/>
  <c r="B1972" i="2" s="1"/>
  <c r="D1972" i="2" s="1"/>
  <c r="B1973" i="2"/>
  <c r="D1973" i="2" s="1"/>
  <c r="B1974" i="2"/>
  <c r="D1974" i="2" s="1"/>
  <c r="B1977" i="2"/>
  <c r="B1980" i="2" s="1"/>
  <c r="D1980" i="2" s="1"/>
  <c r="B1978" i="2"/>
  <c r="D1978" i="2" s="1"/>
  <c r="B1979" i="2"/>
  <c r="D1979" i="2" s="1"/>
  <c r="B1983" i="2"/>
  <c r="B1989" i="2"/>
  <c r="B1990" i="2"/>
  <c r="D1990" i="2" s="1"/>
  <c r="B1991" i="2"/>
  <c r="D1991" i="2" s="1"/>
  <c r="B1992" i="2"/>
  <c r="D1992" i="2" s="1"/>
  <c r="B1995" i="2"/>
  <c r="B1997" i="2"/>
  <c r="D1997" i="2" s="1"/>
  <c r="B2001" i="2"/>
  <c r="B2002" i="2" s="1"/>
  <c r="D2002" i="2" s="1"/>
  <c r="B2003" i="2"/>
  <c r="D2003" i="2" s="1"/>
  <c r="B2004" i="2"/>
  <c r="D2004" i="2" s="1"/>
  <c r="B2007" i="2"/>
  <c r="B2010" i="2" s="1"/>
  <c r="D2010" i="2" s="1"/>
  <c r="B2013" i="2"/>
  <c r="B2014" i="2"/>
  <c r="D2014" i="2" s="1"/>
  <c r="B2015" i="2"/>
  <c r="D2015" i="2" s="1"/>
  <c r="B2016" i="2"/>
  <c r="D2016" i="2" s="1"/>
  <c r="B2019" i="2"/>
  <c r="B2020" i="2" s="1"/>
  <c r="D2020" i="2" s="1"/>
  <c r="B2021" i="2"/>
  <c r="D2021" i="2" s="1"/>
  <c r="B2025" i="2"/>
  <c r="B2031" i="2"/>
  <c r="B2033" i="2" s="1"/>
  <c r="D2033" i="2" s="1"/>
  <c r="B2037" i="2"/>
  <c r="B2043" i="2"/>
  <c r="B2044" i="2" s="1"/>
  <c r="D2044" i="2" s="1"/>
  <c r="B2045" i="2"/>
  <c r="D2045" i="2" s="1"/>
  <c r="B2046" i="2"/>
  <c r="D2046" i="2" s="1"/>
  <c r="B2049" i="2"/>
  <c r="B2055" i="2"/>
  <c r="B2056" i="2" s="1"/>
  <c r="D2056" i="2" s="1"/>
  <c r="B2058" i="2"/>
  <c r="D2058" i="2" s="1"/>
  <c r="B2061" i="2"/>
  <c r="B2062" i="2" s="1"/>
  <c r="D2062" i="2" s="1"/>
  <c r="B2063" i="2"/>
  <c r="D2063" i="2" s="1"/>
  <c r="B2064" i="2"/>
  <c r="D2064" i="2" s="1"/>
  <c r="B2067" i="2"/>
  <c r="B2068" i="2" s="1"/>
  <c r="D2068" i="2" s="1"/>
  <c r="B2069" i="2"/>
  <c r="D2069" i="2" s="1"/>
  <c r="B2070" i="2"/>
  <c r="D2070" i="2" s="1"/>
  <c r="B2073" i="2"/>
  <c r="B2075" i="2" s="1"/>
  <c r="D2075" i="2" s="1"/>
  <c r="B2074" i="2"/>
  <c r="D2074" i="2" s="1"/>
  <c r="B2076" i="2"/>
  <c r="D2076" i="2" s="1"/>
  <c r="B2079" i="2"/>
  <c r="B2085" i="2"/>
  <c r="B2086" i="2"/>
  <c r="D2086" i="2" s="1"/>
  <c r="B2087" i="2"/>
  <c r="D2087" i="2" s="1"/>
  <c r="B2088" i="2"/>
  <c r="D2088" i="2" s="1"/>
  <c r="B2091" i="2"/>
  <c r="B2097" i="2"/>
  <c r="B2098" i="2" s="1"/>
  <c r="D2098" i="2" s="1"/>
  <c r="B2099" i="2"/>
  <c r="D2099" i="2" s="1"/>
  <c r="B2100" i="2"/>
  <c r="D2100" i="2" s="1"/>
  <c r="B2103" i="2"/>
  <c r="B2104" i="2" s="1"/>
  <c r="D2104" i="2" s="1"/>
  <c r="B2105" i="2"/>
  <c r="D2105" i="2" s="1"/>
  <c r="B2106" i="2"/>
  <c r="D2106" i="2" s="1"/>
  <c r="B2109" i="2"/>
  <c r="B2110" i="2"/>
  <c r="D2110" i="2" s="1"/>
  <c r="B2111" i="2"/>
  <c r="D2111" i="2" s="1"/>
  <c r="B2112" i="2"/>
  <c r="D2112" i="2" s="1"/>
  <c r="B2115" i="2"/>
  <c r="B2118" i="2"/>
  <c r="D2118" i="2" s="1"/>
  <c r="B2121" i="2"/>
  <c r="B2127" i="2"/>
  <c r="B2133" i="2"/>
  <c r="B2134" i="2" s="1"/>
  <c r="D2134" i="2" s="1"/>
  <c r="B2139" i="2"/>
  <c r="B2140" i="2" s="1"/>
  <c r="D2140" i="2" s="1"/>
  <c r="B2141" i="2"/>
  <c r="D2141" i="2" s="1"/>
  <c r="B2142" i="2"/>
  <c r="D2142" i="2" s="1"/>
  <c r="B2145" i="2"/>
  <c r="B2147" i="2"/>
  <c r="D2147" i="2" s="1"/>
  <c r="B2151" i="2"/>
  <c r="B2152" i="2" s="1"/>
  <c r="D2152" i="2" s="1"/>
  <c r="B2154" i="2"/>
  <c r="D2154" i="2" s="1"/>
  <c r="B2157" i="2"/>
  <c r="B2158" i="2"/>
  <c r="D2158" i="2" s="1"/>
  <c r="B2159" i="2"/>
  <c r="D2159" i="2" s="1"/>
  <c r="B2160" i="2"/>
  <c r="D2160" i="2" s="1"/>
  <c r="B2163" i="2"/>
  <c r="B2164" i="2" s="1"/>
  <c r="D2164" i="2" s="1"/>
  <c r="B2165" i="2"/>
  <c r="D2165" i="2" s="1"/>
  <c r="B2166" i="2"/>
  <c r="D2166" i="2" s="1"/>
  <c r="B2169" i="2"/>
  <c r="B2171" i="2" s="1"/>
  <c r="D2171" i="2" s="1"/>
  <c r="B2175" i="2"/>
  <c r="B2181" i="2"/>
  <c r="B2182" i="2"/>
  <c r="D2182" i="2" s="1"/>
  <c r="B2183" i="2"/>
  <c r="D2183" i="2" s="1"/>
  <c r="B2184" i="2"/>
  <c r="D2184" i="2" s="1"/>
  <c r="B2187" i="2"/>
  <c r="B2189" i="2"/>
  <c r="D2189" i="2" s="1"/>
  <c r="B2193" i="2"/>
  <c r="B2194" i="2" s="1"/>
  <c r="D2194" i="2" s="1"/>
  <c r="B2195" i="2"/>
  <c r="D2195" i="2" s="1"/>
  <c r="B2196" i="2"/>
  <c r="D2196" i="2" s="1"/>
  <c r="B2199" i="2"/>
  <c r="B2200" i="2" s="1"/>
  <c r="D2200" i="2" s="1"/>
  <c r="B2201" i="2"/>
  <c r="D2201" i="2" s="1"/>
  <c r="B2202" i="2"/>
  <c r="D2202" i="2" s="1"/>
  <c r="B2205" i="2"/>
  <c r="B2206" i="2"/>
  <c r="D2206" i="2" s="1"/>
  <c r="B2207" i="2"/>
  <c r="D2207" i="2" s="1"/>
  <c r="B2208" i="2"/>
  <c r="D2208" i="2" s="1"/>
  <c r="B2211" i="2"/>
  <c r="B2212" i="2" s="1"/>
  <c r="D2212" i="2" s="1"/>
  <c r="B2213" i="2"/>
  <c r="D2213" i="2" s="1"/>
  <c r="B2214" i="2"/>
  <c r="D2214" i="2" s="1"/>
  <c r="B2217" i="2"/>
  <c r="B2223" i="2"/>
  <c r="B2224" i="2" s="1"/>
  <c r="D2224" i="2" s="1"/>
  <c r="B2225" i="2"/>
  <c r="D2225" i="2" s="1"/>
  <c r="B2226" i="2"/>
  <c r="D2226" i="2" s="1"/>
  <c r="B2229" i="2"/>
  <c r="B2235" i="2"/>
  <c r="B2236" i="2" s="1"/>
  <c r="D2236" i="2" s="1"/>
  <c r="B2237" i="2"/>
  <c r="D2237" i="2" s="1"/>
  <c r="B2238" i="2"/>
  <c r="D2238" i="2" s="1"/>
  <c r="B2241" i="2"/>
  <c r="B2244" i="2" s="1"/>
  <c r="D2244" i="2" s="1"/>
  <c r="B2242" i="2"/>
  <c r="D2242" i="2" s="1"/>
  <c r="B2243" i="2"/>
  <c r="D2243" i="2" s="1"/>
  <c r="B2247" i="2"/>
  <c r="B2248" i="2" s="1"/>
  <c r="D2248" i="2" s="1"/>
  <c r="B2250" i="2"/>
  <c r="D2250" i="2" s="1"/>
  <c r="B2253" i="2"/>
  <c r="B2256" i="2" s="1"/>
  <c r="D2256" i="2" s="1"/>
  <c r="B2254" i="2"/>
  <c r="D2254" i="2" s="1"/>
  <c r="B2255" i="2"/>
  <c r="D2255" i="2" s="1"/>
  <c r="B2259" i="2"/>
  <c r="B2260" i="2" s="1"/>
  <c r="D2260" i="2" s="1"/>
  <c r="B2261" i="2"/>
  <c r="D2261" i="2" s="1"/>
  <c r="B2262" i="2"/>
  <c r="D2262" i="2" s="1"/>
  <c r="B2265" i="2"/>
  <c r="B2266" i="2"/>
  <c r="D2266" i="2" s="1"/>
  <c r="B2267" i="2"/>
  <c r="D2267" i="2" s="1"/>
  <c r="B2268" i="2"/>
  <c r="D2268" i="2" s="1"/>
  <c r="B2271" i="2"/>
  <c r="B2277" i="2"/>
  <c r="B2278" i="2"/>
  <c r="D2278" i="2" s="1"/>
  <c r="B2279" i="2"/>
  <c r="D2279" i="2" s="1"/>
  <c r="B2280" i="2"/>
  <c r="D2280" i="2" s="1"/>
  <c r="B2283" i="2"/>
  <c r="B2285" i="2"/>
  <c r="D2285" i="2" s="1"/>
  <c r="B2289" i="2"/>
  <c r="B2290" i="2" s="1"/>
  <c r="D2290" i="2" s="1"/>
  <c r="B2291" i="2"/>
  <c r="D2291" i="2" s="1"/>
  <c r="B2292" i="2"/>
  <c r="D2292" i="2" s="1"/>
  <c r="B2295" i="2"/>
  <c r="B2296" i="2" s="1"/>
  <c r="D2296" i="2" s="1"/>
  <c r="B2297" i="2"/>
  <c r="D2297" i="2" s="1"/>
  <c r="B2301" i="2"/>
  <c r="B2302" i="2"/>
  <c r="D2302" i="2" s="1"/>
  <c r="B2303" i="2"/>
  <c r="D2303" i="2" s="1"/>
  <c r="B2304" i="2"/>
  <c r="D2304" i="2" s="1"/>
  <c r="B2307" i="2"/>
  <c r="B2308" i="2" s="1"/>
  <c r="D2308" i="2" s="1"/>
  <c r="B2309" i="2"/>
  <c r="D2309" i="2" s="1"/>
  <c r="B2313" i="2"/>
  <c r="B2319" i="2"/>
  <c r="B2320" i="2" s="1"/>
  <c r="D2320" i="2" s="1"/>
  <c r="B2321" i="2"/>
  <c r="D2321" i="2" s="1"/>
  <c r="B2322" i="2"/>
  <c r="D2322" i="2" s="1"/>
  <c r="B2325" i="2"/>
  <c r="B2326" i="2"/>
  <c r="D2326" i="2" s="1"/>
  <c r="B2331" i="2"/>
  <c r="B2332" i="2" s="1"/>
  <c r="D2332" i="2" s="1"/>
  <c r="B2333" i="2"/>
  <c r="D2333" i="2" s="1"/>
  <c r="B2334" i="2"/>
  <c r="D2334" i="2" s="1"/>
  <c r="B2337" i="2"/>
  <c r="B2340" i="2" s="1"/>
  <c r="D2340" i="2" s="1"/>
  <c r="B2338" i="2"/>
  <c r="D2338" i="2" s="1"/>
  <c r="B2339" i="2"/>
  <c r="D2339" i="2" s="1"/>
  <c r="B2343" i="2"/>
  <c r="B2344" i="2" s="1"/>
  <c r="D2344" i="2" s="1"/>
  <c r="B2346" i="2"/>
  <c r="D2346" i="2" s="1"/>
  <c r="B2349" i="2"/>
  <c r="B2351" i="2" s="1"/>
  <c r="D2351" i="2" s="1"/>
  <c r="B2355" i="2"/>
  <c r="B2356" i="2" s="1"/>
  <c r="D2356" i="2" s="1"/>
  <c r="B2357" i="2"/>
  <c r="D2357" i="2" s="1"/>
  <c r="B2358" i="2"/>
  <c r="D2358" i="2" s="1"/>
  <c r="B2361" i="2"/>
  <c r="B2364" i="2" s="1"/>
  <c r="D2364" i="2" s="1"/>
  <c r="B2362" i="2"/>
  <c r="D2362" i="2" s="1"/>
  <c r="B2363" i="2"/>
  <c r="D2363" i="2" s="1"/>
  <c r="B2367" i="2"/>
  <c r="B2373" i="2"/>
  <c r="B2374" i="2"/>
  <c r="D2374" i="2" s="1"/>
  <c r="B2375" i="2"/>
  <c r="D2375" i="2" s="1"/>
  <c r="B2376" i="2"/>
  <c r="D2376" i="2" s="1"/>
  <c r="B2379" i="2"/>
  <c r="B2381" i="2"/>
  <c r="D2381" i="2" s="1"/>
  <c r="B2385" i="2"/>
  <c r="B2386" i="2" s="1"/>
  <c r="D2386" i="2" s="1"/>
  <c r="B2387" i="2"/>
  <c r="D2387" i="2" s="1"/>
  <c r="B2388" i="2"/>
  <c r="D2388" i="2" s="1"/>
  <c r="B2391" i="2"/>
  <c r="B2394" i="2"/>
  <c r="D2394" i="2" s="1"/>
  <c r="B2397" i="2"/>
  <c r="B2398" i="2"/>
  <c r="D2398" i="2" s="1"/>
  <c r="B2399" i="2"/>
  <c r="D2399" i="2" s="1"/>
  <c r="B2400" i="2"/>
  <c r="D2400" i="2" s="1"/>
  <c r="B2403" i="2"/>
  <c r="B2405" i="2"/>
  <c r="D2405" i="2" s="1"/>
  <c r="B2409" i="2"/>
  <c r="B2415" i="2"/>
  <c r="B2417" i="2" s="1"/>
  <c r="D2417" i="2" s="1"/>
  <c r="B2416" i="2"/>
  <c r="D2416" i="2" s="1"/>
  <c r="B2418" i="2"/>
  <c r="D2418" i="2" s="1"/>
  <c r="B2421" i="2"/>
  <c r="B2427" i="2"/>
  <c r="B2428" i="2" s="1"/>
  <c r="D2428" i="2" s="1"/>
  <c r="B2433" i="2"/>
  <c r="B2439" i="2"/>
  <c r="B2440" i="2"/>
  <c r="D2440" i="2" s="1"/>
  <c r="B2441" i="2"/>
  <c r="D2441" i="2" s="1"/>
  <c r="B2442" i="2"/>
  <c r="D2442" i="2" s="1"/>
  <c r="B2445" i="2"/>
  <c r="B2451" i="2"/>
  <c r="B2454" i="2" s="1"/>
  <c r="D2454" i="2" s="1"/>
  <c r="B2452" i="2"/>
  <c r="D2452" i="2" s="1"/>
  <c r="B2457" i="2"/>
  <c r="B2463" i="2"/>
  <c r="B2465" i="2" s="1"/>
  <c r="D2465" i="2" s="1"/>
  <c r="B2464" i="2"/>
  <c r="D2464" i="2" s="1"/>
  <c r="B2466" i="2"/>
  <c r="D2466" i="2" s="1"/>
  <c r="B2469" i="2"/>
  <c r="B2475" i="2"/>
  <c r="B2476" i="2" s="1"/>
  <c r="D2476" i="2" s="1"/>
  <c r="B2477" i="2"/>
  <c r="D2477" i="2" s="1"/>
  <c r="B2481" i="2"/>
  <c r="B2487" i="2"/>
  <c r="B2488" i="2"/>
  <c r="D2488" i="2" s="1"/>
  <c r="B2489" i="2"/>
  <c r="D2489" i="2" s="1"/>
  <c r="B2490" i="2"/>
  <c r="D2490" i="2" s="1"/>
  <c r="B2493" i="2"/>
  <c r="B2499" i="2"/>
  <c r="B2502" i="2" s="1"/>
  <c r="D2502" i="2" s="1"/>
  <c r="B2501" i="2"/>
  <c r="D2501" i="2" s="1"/>
  <c r="B2505" i="2"/>
  <c r="B2511" i="2"/>
  <c r="B2513" i="2" s="1"/>
  <c r="D2513" i="2" s="1"/>
  <c r="B2512" i="2"/>
  <c r="D2512" i="2" s="1"/>
  <c r="B2514" i="2"/>
  <c r="D2514" i="2" s="1"/>
  <c r="B2517" i="2"/>
  <c r="B2523" i="2"/>
  <c r="B2524" i="2" s="1"/>
  <c r="D2524" i="2" s="1"/>
  <c r="B2526" i="2"/>
  <c r="D2526" i="2" s="1"/>
  <c r="B2529" i="2"/>
  <c r="B2535" i="2"/>
  <c r="B2536" i="2"/>
  <c r="D2536" i="2" s="1"/>
  <c r="B2537" i="2"/>
  <c r="D2537" i="2" s="1"/>
  <c r="B2538" i="2"/>
  <c r="D2538" i="2" s="1"/>
  <c r="B2541" i="2"/>
  <c r="B2547" i="2"/>
  <c r="B2550" i="2" s="1"/>
  <c r="D2550" i="2" s="1"/>
  <c r="B2548" i="2"/>
  <c r="D2548" i="2" s="1"/>
  <c r="B2549" i="2"/>
  <c r="D2549" i="2" s="1"/>
  <c r="B2553" i="2"/>
  <c r="B2559" i="2"/>
  <c r="B2561" i="2" s="1"/>
  <c r="D2561" i="2" s="1"/>
  <c r="B2560" i="2"/>
  <c r="D2560" i="2" s="1"/>
  <c r="B2565" i="2"/>
  <c r="B2571" i="2"/>
  <c r="B2572" i="2" s="1"/>
  <c r="D2572" i="2" s="1"/>
  <c r="B2573" i="2"/>
  <c r="D2573" i="2" s="1"/>
  <c r="B2574" i="2"/>
  <c r="D2574" i="2" s="1"/>
  <c r="B2577" i="2"/>
  <c r="B2583" i="2"/>
  <c r="B2584" i="2"/>
  <c r="D2584" i="2" s="1"/>
  <c r="B2585" i="2"/>
  <c r="D2585" i="2" s="1"/>
  <c r="B2586" i="2"/>
  <c r="D2586" i="2" s="1"/>
  <c r="B2589" i="2"/>
  <c r="B2595" i="2"/>
  <c r="B2598" i="2" s="1"/>
  <c r="D2598" i="2" s="1"/>
  <c r="B2596" i="2"/>
  <c r="D2596" i="2" s="1"/>
  <c r="B2597" i="2"/>
  <c r="D2597" i="2" s="1"/>
  <c r="B2601" i="2"/>
  <c r="B2607" i="2"/>
  <c r="B2609" i="2" s="1"/>
  <c r="D2609" i="2" s="1"/>
  <c r="B2613" i="2"/>
  <c r="B2619" i="2"/>
  <c r="B2620" i="2" s="1"/>
  <c r="D2620" i="2" s="1"/>
  <c r="B2621" i="2"/>
  <c r="D2621" i="2" s="1"/>
  <c r="B2622" i="2"/>
  <c r="D2622" i="2" s="1"/>
  <c r="B2625" i="2"/>
  <c r="B2631" i="2"/>
  <c r="B2632" i="2"/>
  <c r="D2632" i="2" s="1"/>
  <c r="B2633" i="2"/>
  <c r="D2633" i="2" s="1"/>
  <c r="B2634" i="2"/>
  <c r="D2634" i="2" s="1"/>
  <c r="B2637" i="2"/>
  <c r="B2643" i="2"/>
  <c r="B2646" i="2" s="1"/>
  <c r="D2646" i="2" s="1"/>
  <c r="B2644" i="2"/>
  <c r="D2644" i="2" s="1"/>
  <c r="B2645" i="2"/>
  <c r="D2645" i="2" s="1"/>
  <c r="B2649" i="2"/>
  <c r="B2655" i="2"/>
  <c r="B2657" i="2" s="1"/>
  <c r="D2657" i="2" s="1"/>
  <c r="B2656" i="2"/>
  <c r="D2656" i="2" s="1"/>
  <c r="B2661" i="2"/>
  <c r="B2667" i="2"/>
  <c r="B2668" i="2" s="1"/>
  <c r="D2668" i="2" s="1"/>
  <c r="B2669" i="2"/>
  <c r="D2669" i="2" s="1"/>
  <c r="B2670" i="2"/>
  <c r="D2670" i="2" s="1"/>
  <c r="B2673" i="2"/>
  <c r="B2679" i="2"/>
  <c r="B2680" i="2"/>
  <c r="D2680" i="2" s="1"/>
  <c r="B2681" i="2"/>
  <c r="D2681" i="2" s="1"/>
  <c r="B2682" i="2"/>
  <c r="D2682" i="2" s="1"/>
  <c r="B2685" i="2"/>
  <c r="B2691" i="2"/>
  <c r="B2694" i="2" s="1"/>
  <c r="D2694" i="2" s="1"/>
  <c r="B2692" i="2"/>
  <c r="D2692" i="2" s="1"/>
  <c r="B2693" i="2"/>
  <c r="D2693" i="2" s="1"/>
  <c r="B2697" i="2"/>
  <c r="B2703" i="2"/>
  <c r="B2705" i="2" s="1"/>
  <c r="D2705" i="2" s="1"/>
  <c r="B2706" i="2"/>
  <c r="D2706" i="2" s="1"/>
  <c r="B2709" i="2"/>
  <c r="B2715" i="2"/>
  <c r="B2716" i="2" s="1"/>
  <c r="D2716" i="2" s="1"/>
  <c r="B2717" i="2"/>
  <c r="D2717" i="2" s="1"/>
  <c r="B2718" i="2"/>
  <c r="D2718" i="2" s="1"/>
  <c r="B2721" i="2"/>
  <c r="B2727" i="2"/>
  <c r="B2728" i="2"/>
  <c r="D2728" i="2" s="1"/>
  <c r="B2729" i="2"/>
  <c r="D2729" i="2" s="1"/>
  <c r="B2730" i="2"/>
  <c r="D2730" i="2" s="1"/>
  <c r="B2733" i="2"/>
  <c r="B2739" i="2"/>
  <c r="B2742" i="2" s="1"/>
  <c r="D2742" i="2" s="1"/>
  <c r="B2740" i="2"/>
  <c r="D2740" i="2" s="1"/>
  <c r="B2745" i="2"/>
  <c r="B2751" i="2"/>
  <c r="B2753" i="2" s="1"/>
  <c r="D2753" i="2" s="1"/>
  <c r="B2752" i="2"/>
  <c r="D2752" i="2" s="1"/>
  <c r="B2754" i="2"/>
  <c r="D2754" i="2" s="1"/>
  <c r="B2757" i="2"/>
  <c r="B2763" i="2"/>
  <c r="B2764" i="2" s="1"/>
  <c r="D2764" i="2" s="1"/>
  <c r="B2765" i="2"/>
  <c r="D2765" i="2" s="1"/>
  <c r="B2769" i="2"/>
  <c r="B2775" i="2"/>
  <c r="B2778" i="2" s="1"/>
  <c r="D2778" i="2" s="1"/>
  <c r="B2776" i="2"/>
  <c r="D2776" i="2" s="1"/>
  <c r="B2777" i="2"/>
  <c r="D2777" i="2" s="1"/>
  <c r="B2781" i="2"/>
  <c r="B2784" i="2"/>
  <c r="D2784" i="2" s="1"/>
  <c r="B2787" i="2"/>
  <c r="B2788" i="2" s="1"/>
  <c r="D2788" i="2" s="1"/>
  <c r="B2793" i="2"/>
  <c r="B2799" i="2"/>
  <c r="B2802" i="2" s="1"/>
  <c r="D2802" i="2" s="1"/>
  <c r="B2800" i="2"/>
  <c r="D2800" i="2" s="1"/>
  <c r="B2801" i="2"/>
  <c r="D2801" i="2" s="1"/>
  <c r="B2805" i="2"/>
  <c r="B2808" i="2"/>
  <c r="D2808" i="2" s="1"/>
  <c r="B2811" i="2"/>
  <c r="B2812" i="2" s="1"/>
  <c r="D2812" i="2" s="1"/>
  <c r="B2813" i="2"/>
  <c r="D2813" i="2" s="1"/>
  <c r="B2817" i="2"/>
  <c r="B2823" i="2"/>
  <c r="B2826" i="2" s="1"/>
  <c r="D2826" i="2" s="1"/>
  <c r="B2824" i="2"/>
  <c r="D2824" i="2" s="1"/>
  <c r="B2825" i="2"/>
  <c r="D2825" i="2" s="1"/>
  <c r="B2829" i="2"/>
  <c r="B2835" i="2"/>
  <c r="B2836" i="2" s="1"/>
  <c r="D2836" i="2" s="1"/>
  <c r="B2838" i="2"/>
  <c r="D2838" i="2" s="1"/>
  <c r="B2841" i="2"/>
  <c r="B2847" i="2"/>
  <c r="B2850" i="2" s="1"/>
  <c r="D2850" i="2" s="1"/>
  <c r="B2848" i="2"/>
  <c r="D2848" i="2" s="1"/>
  <c r="B2849" i="2"/>
  <c r="D2849" i="2" s="1"/>
  <c r="B2853" i="2"/>
  <c r="B2856" i="2"/>
  <c r="D2856" i="2" s="1"/>
  <c r="B2859" i="2"/>
  <c r="B2860" i="2" s="1"/>
  <c r="D2860" i="2" s="1"/>
  <c r="B2861" i="2"/>
  <c r="D2861" i="2" s="1"/>
  <c r="B2862" i="2"/>
  <c r="D2862" i="2" s="1"/>
  <c r="B2865" i="2"/>
  <c r="B2871" i="2"/>
  <c r="B2874" i="2" s="1"/>
  <c r="D2874" i="2" s="1"/>
  <c r="B2872" i="2"/>
  <c r="D2872" i="2" s="1"/>
  <c r="B2877" i="2"/>
  <c r="B2880" i="2" s="1"/>
  <c r="D2880" i="2" s="1"/>
  <c r="B2883" i="2"/>
  <c r="B2884" i="2" s="1"/>
  <c r="D2884" i="2" s="1"/>
  <c r="B2885" i="2"/>
  <c r="D2885" i="2" s="1"/>
  <c r="B2886" i="2"/>
  <c r="D2886" i="2" s="1"/>
  <c r="B2889" i="2"/>
  <c r="B2895" i="2"/>
  <c r="B2898" i="2" s="1"/>
  <c r="D2898" i="2" s="1"/>
  <c r="B2901" i="2"/>
  <c r="B2904" i="2"/>
  <c r="D2904" i="2" s="1"/>
  <c r="B2907" i="2"/>
  <c r="B2908" i="2" s="1"/>
  <c r="D2908" i="2" s="1"/>
  <c r="B2909" i="2"/>
  <c r="D2909" i="2" s="1"/>
  <c r="B2910" i="2"/>
  <c r="D2910" i="2" s="1"/>
  <c r="B2913" i="2"/>
  <c r="B2919" i="2"/>
  <c r="B2922" i="2" s="1"/>
  <c r="D2922" i="2" s="1"/>
  <c r="B2920" i="2"/>
  <c r="D2920" i="2" s="1"/>
  <c r="B2925" i="2"/>
  <c r="B2928" i="2"/>
  <c r="D2928" i="2" s="1"/>
  <c r="B2931" i="2"/>
  <c r="B2932" i="2" s="1"/>
  <c r="D2932" i="2" s="1"/>
  <c r="B2933" i="2"/>
  <c r="D2933" i="2" s="1"/>
  <c r="B2934" i="2"/>
  <c r="D2934" i="2" s="1"/>
  <c r="B2937" i="2"/>
  <c r="B2943" i="2"/>
  <c r="B2946" i="2" s="1"/>
  <c r="D2946" i="2" s="1"/>
  <c r="B2945" i="2"/>
  <c r="D2945" i="2" s="1"/>
  <c r="B2949" i="2"/>
  <c r="B2952" i="2"/>
  <c r="D2952" i="2" s="1"/>
  <c r="B2955" i="2"/>
  <c r="B2956" i="2" s="1"/>
  <c r="D2956" i="2" s="1"/>
  <c r="B2957" i="2"/>
  <c r="D2957" i="2" s="1"/>
  <c r="B2961" i="2"/>
  <c r="B2967" i="2"/>
  <c r="B2970" i="2" s="1"/>
  <c r="D2970" i="2" s="1"/>
  <c r="B2968" i="2"/>
  <c r="D2968" i="2" s="1"/>
  <c r="B2969" i="2"/>
  <c r="D2969" i="2" s="1"/>
  <c r="B2973" i="2"/>
  <c r="B2976" i="2"/>
  <c r="D2976" i="2" s="1"/>
  <c r="B2979" i="2"/>
  <c r="B2980" i="2" s="1"/>
  <c r="D2980" i="2" s="1"/>
  <c r="B2985" i="2"/>
  <c r="B2991" i="2"/>
  <c r="B2994" i="2" s="1"/>
  <c r="D2994" i="2" s="1"/>
  <c r="B2992" i="2"/>
  <c r="D2992" i="2" s="1"/>
  <c r="B2993" i="2"/>
  <c r="D2993" i="2" s="1"/>
  <c r="B2997" i="2"/>
  <c r="B3000" i="2"/>
  <c r="D3000" i="2" s="1"/>
  <c r="B3003" i="2"/>
  <c r="B3004" i="2" s="1"/>
  <c r="D3004" i="2" s="1"/>
  <c r="B3005" i="2"/>
  <c r="D3005" i="2" s="1"/>
  <c r="B3009" i="2"/>
  <c r="B3015" i="2"/>
  <c r="B3018" i="2" s="1"/>
  <c r="D3018" i="2" s="1"/>
  <c r="B3016" i="2"/>
  <c r="D3016" i="2" s="1"/>
  <c r="B3017" i="2"/>
  <c r="D3017" i="2" s="1"/>
  <c r="B3021" i="2"/>
  <c r="B3027" i="2"/>
  <c r="B3028" i="2" s="1"/>
  <c r="D3028" i="2" s="1"/>
  <c r="B3030" i="2"/>
  <c r="D3030" i="2" s="1"/>
  <c r="B3033" i="2"/>
  <c r="B3039" i="2"/>
  <c r="B3042" i="2" s="1"/>
  <c r="D3042" i="2" s="1"/>
  <c r="B3040" i="2"/>
  <c r="D3040" i="2" s="1"/>
  <c r="B3041" i="2"/>
  <c r="D3041" i="2" s="1"/>
  <c r="B3045" i="2"/>
  <c r="B3048" i="2"/>
  <c r="D3048" i="2" s="1"/>
  <c r="B3051" i="2"/>
  <c r="B3052" i="2" s="1"/>
  <c r="D3052" i="2" s="1"/>
  <c r="B3053" i="2"/>
  <c r="D3053" i="2" s="1"/>
  <c r="B3054" i="2"/>
  <c r="D3054" i="2" s="1"/>
  <c r="B3057" i="2"/>
  <c r="B3063" i="2"/>
  <c r="B3066" i="2" s="1"/>
  <c r="D3066" i="2" s="1"/>
  <c r="B3064" i="2"/>
  <c r="D3064" i="2" s="1"/>
  <c r="B3069" i="2"/>
  <c r="B3072" i="2" s="1"/>
  <c r="D3072" i="2" s="1"/>
  <c r="B3075" i="2"/>
  <c r="B3076" i="2" s="1"/>
  <c r="D3076" i="2" s="1"/>
  <c r="B3077" i="2"/>
  <c r="D3077" i="2" s="1"/>
  <c r="B3078" i="2"/>
  <c r="D3078" i="2" s="1"/>
  <c r="B3081" i="2"/>
  <c r="B3087" i="2"/>
  <c r="B3090" i="2" s="1"/>
  <c r="D3090" i="2" s="1"/>
  <c r="B3093" i="2"/>
  <c r="B3094" i="2" s="1"/>
  <c r="D3094" i="2" s="1"/>
  <c r="B3095" i="2"/>
  <c r="D3095" i="2" s="1"/>
  <c r="B3096" i="2"/>
  <c r="D3096" i="2" s="1"/>
  <c r="B3099" i="2"/>
  <c r="B3100" i="2"/>
  <c r="D3100" i="2" s="1"/>
  <c r="B3101" i="2"/>
  <c r="D3101" i="2" s="1"/>
  <c r="B3102" i="2"/>
  <c r="D3102" i="2" s="1"/>
  <c r="B3105" i="2"/>
  <c r="B3106" i="2" s="1"/>
  <c r="D3106" i="2" s="1"/>
  <c r="B3107" i="2"/>
  <c r="D3107" i="2" s="1"/>
  <c r="B3108" i="2"/>
  <c r="D3108" i="2" s="1"/>
  <c r="B3111" i="2"/>
  <c r="B3112" i="2" s="1"/>
  <c r="D3112" i="2" s="1"/>
  <c r="B3113" i="2"/>
  <c r="D3113" i="2" s="1"/>
  <c r="B3114" i="2"/>
  <c r="D3114" i="2" s="1"/>
  <c r="B3117" i="2"/>
  <c r="B3123" i="2"/>
  <c r="B3125" i="2" s="1"/>
  <c r="D3125" i="2" s="1"/>
  <c r="B3126" i="2"/>
  <c r="D3126" i="2" s="1"/>
  <c r="B3129" i="2"/>
  <c r="B3131" i="2"/>
  <c r="D3131" i="2" s="1"/>
  <c r="B3135" i="2"/>
  <c r="B3138" i="2" s="1"/>
  <c r="D3138" i="2" s="1"/>
  <c r="B3141" i="2"/>
  <c r="B3142" i="2" s="1"/>
  <c r="D3142" i="2" s="1"/>
  <c r="B3144" i="2"/>
  <c r="D3144" i="2" s="1"/>
  <c r="B3147" i="2"/>
  <c r="B3148" i="2"/>
  <c r="D3148" i="2" s="1"/>
  <c r="B3149" i="2"/>
  <c r="D3149" i="2" s="1"/>
  <c r="B3150" i="2"/>
  <c r="D3150" i="2" s="1"/>
  <c r="B3153" i="2"/>
  <c r="B3154" i="2" s="1"/>
  <c r="D3154" i="2" s="1"/>
  <c r="B3155" i="2"/>
  <c r="D3155" i="2" s="1"/>
  <c r="B3156" i="2"/>
  <c r="D3156" i="2" s="1"/>
  <c r="B3159" i="2"/>
  <c r="B3160" i="2" s="1"/>
  <c r="D3160" i="2" s="1"/>
  <c r="B3161" i="2"/>
  <c r="D3161" i="2" s="1"/>
  <c r="B3162" i="2"/>
  <c r="D3162" i="2" s="1"/>
  <c r="B3165" i="2"/>
  <c r="B3168" i="2"/>
  <c r="D3168" i="2" s="1"/>
  <c r="B3171" i="2"/>
  <c r="B3173" i="2" s="1"/>
  <c r="D3173" i="2" s="1"/>
  <c r="B3172" i="2"/>
  <c r="D3172" i="2" s="1"/>
  <c r="B3177" i="2"/>
  <c r="B3179" i="2"/>
  <c r="D3179" i="2" s="1"/>
  <c r="B3183" i="2"/>
  <c r="B3186" i="2" s="1"/>
  <c r="D3186" i="2" s="1"/>
  <c r="B3184" i="2"/>
  <c r="D3184" i="2" s="1"/>
  <c r="B3185" i="2"/>
  <c r="D3185" i="2" s="1"/>
  <c r="B3189" i="2"/>
  <c r="B3190" i="2" s="1"/>
  <c r="D3190" i="2" s="1"/>
  <c r="B3191" i="2"/>
  <c r="D3191" i="2" s="1"/>
  <c r="B3195" i="2"/>
  <c r="B3196" i="2"/>
  <c r="D3196" i="2" s="1"/>
  <c r="B3197" i="2"/>
  <c r="D3197" i="2" s="1"/>
  <c r="B3198" i="2"/>
  <c r="D3198" i="2" s="1"/>
  <c r="B3201" i="2"/>
  <c r="B3202" i="2" s="1"/>
  <c r="D3202" i="2" s="1"/>
  <c r="B3203" i="2"/>
  <c r="D3203" i="2" s="1"/>
  <c r="B3204" i="2"/>
  <c r="D3204" i="2" s="1"/>
  <c r="B3207" i="2"/>
  <c r="B3208" i="2" s="1"/>
  <c r="D3208" i="2" s="1"/>
  <c r="B3209" i="2"/>
  <c r="D3209" i="2" s="1"/>
  <c r="B3210" i="2"/>
  <c r="D3210" i="2" s="1"/>
  <c r="B3213" i="2"/>
  <c r="B3216" i="2"/>
  <c r="D3216" i="2" s="1"/>
  <c r="B3219" i="2"/>
  <c r="B3221" i="2" s="1"/>
  <c r="D3221" i="2" s="1"/>
  <c r="B3225" i="2"/>
  <c r="B3227" i="2"/>
  <c r="D3227" i="2" s="1"/>
  <c r="B3231" i="2"/>
  <c r="B3234" i="2" s="1"/>
  <c r="D3234" i="2" s="1"/>
  <c r="B3232" i="2"/>
  <c r="D3232" i="2" s="1"/>
  <c r="B3233" i="2"/>
  <c r="D3233" i="2" s="1"/>
  <c r="B3237" i="2"/>
  <c r="B3238" i="2" s="1"/>
  <c r="D3238" i="2" s="1"/>
  <c r="B3243" i="2"/>
  <c r="B3244" i="2"/>
  <c r="D3244" i="2" s="1"/>
  <c r="B3245" i="2"/>
  <c r="D3245" i="2" s="1"/>
  <c r="B3246" i="2"/>
  <c r="D3246" i="2" s="1"/>
  <c r="B3249" i="2"/>
  <c r="B3250" i="2" s="1"/>
  <c r="D3250" i="2" s="1"/>
  <c r="B3251" i="2"/>
  <c r="D3251" i="2" s="1"/>
  <c r="B3252" i="2"/>
  <c r="D3252" i="2" s="1"/>
  <c r="B3255" i="2"/>
  <c r="B3256" i="2" s="1"/>
  <c r="D3256" i="2" s="1"/>
  <c r="B3258" i="2"/>
  <c r="D3258" i="2" s="1"/>
  <c r="B3261" i="2"/>
  <c r="B3264" i="2"/>
  <c r="D3264" i="2" s="1"/>
  <c r="B3267" i="2"/>
  <c r="B3269" i="2" s="1"/>
  <c r="D3269" i="2" s="1"/>
  <c r="B3268" i="2"/>
  <c r="D3268" i="2" s="1"/>
  <c r="B3273" i="2"/>
  <c r="B3275" i="2" s="1"/>
  <c r="D3275" i="2" s="1"/>
  <c r="B3279" i="2"/>
  <c r="B3282" i="2" s="1"/>
  <c r="D3282" i="2" s="1"/>
  <c r="B3280" i="2"/>
  <c r="D3280" i="2" s="1"/>
  <c r="B3281" i="2"/>
  <c r="D3281" i="2" s="1"/>
  <c r="B3285" i="2"/>
  <c r="B3286" i="2" s="1"/>
  <c r="D3286" i="2" s="1"/>
  <c r="B3287" i="2"/>
  <c r="D3287" i="2" s="1"/>
  <c r="B3291" i="2"/>
  <c r="B3292" i="2"/>
  <c r="D3292" i="2" s="1"/>
  <c r="B3293" i="2"/>
  <c r="D3293" i="2" s="1"/>
  <c r="B3294" i="2"/>
  <c r="D3294" i="2" s="1"/>
  <c r="B3297" i="2"/>
  <c r="B3298" i="2" s="1"/>
  <c r="D3298" i="2" s="1"/>
  <c r="B3299" i="2"/>
  <c r="D3299" i="2" s="1"/>
  <c r="B3300" i="2"/>
  <c r="D3300" i="2" s="1"/>
  <c r="B3303" i="2"/>
  <c r="B3304" i="2" s="1"/>
  <c r="D3304" i="2" s="1"/>
  <c r="B3305" i="2"/>
  <c r="D3305" i="2" s="1"/>
  <c r="B3309" i="2"/>
  <c r="B3312" i="2"/>
  <c r="D3312" i="2" s="1"/>
  <c r="B3315" i="2"/>
  <c r="B3317" i="2" s="1"/>
  <c r="D3317" i="2" s="1"/>
  <c r="B3316" i="2"/>
  <c r="D3316" i="2" s="1"/>
  <c r="B3318" i="2"/>
  <c r="D3318" i="2" s="1"/>
  <c r="B3321" i="2"/>
  <c r="B3323" i="2"/>
  <c r="D3323" i="2" s="1"/>
  <c r="B3327" i="2"/>
  <c r="B3330" i="2" s="1"/>
  <c r="D3330" i="2" s="1"/>
  <c r="B3328" i="2"/>
  <c r="D3328" i="2" s="1"/>
  <c r="B3329" i="2"/>
  <c r="D3329" i="2" s="1"/>
  <c r="B3333" i="2"/>
  <c r="B3334" i="2" s="1"/>
  <c r="D3334" i="2" s="1"/>
  <c r="B3335" i="2"/>
  <c r="D3335" i="2" s="1"/>
  <c r="B3336" i="2"/>
  <c r="D3336" i="2" s="1"/>
  <c r="B3339" i="2"/>
  <c r="B3340" i="2"/>
  <c r="D3340" i="2" s="1"/>
  <c r="B3341" i="2"/>
  <c r="D3341" i="2" s="1"/>
  <c r="B3342" i="2"/>
  <c r="D3342" i="2" s="1"/>
  <c r="B3345" i="2"/>
  <c r="B3346" i="2" s="1"/>
  <c r="D3346" i="2" s="1"/>
  <c r="B3347" i="2"/>
  <c r="D3347" i="2" s="1"/>
  <c r="B3348" i="2"/>
  <c r="D3348" i="2" s="1"/>
  <c r="B3351" i="2"/>
  <c r="B3352" i="2" s="1"/>
  <c r="D3352" i="2" s="1"/>
  <c r="B3357" i="2"/>
  <c r="B3360" i="2"/>
  <c r="D3360" i="2" s="1"/>
  <c r="B3363" i="2"/>
  <c r="B3365" i="2" s="1"/>
  <c r="D3365" i="2" s="1"/>
  <c r="B3364" i="2"/>
  <c r="D3364" i="2" s="1"/>
  <c r="B3366" i="2"/>
  <c r="D3366" i="2" s="1"/>
  <c r="B3369" i="2"/>
  <c r="B3375" i="2"/>
  <c r="B3378" i="2" s="1"/>
  <c r="D3378" i="2" s="1"/>
  <c r="B3377" i="2"/>
  <c r="D3377" i="2" s="1"/>
  <c r="B3381" i="2"/>
  <c r="B3382" i="2" s="1"/>
  <c r="D3382" i="2" s="1"/>
  <c r="B3383" i="2"/>
  <c r="D3383" i="2" s="1"/>
  <c r="B3384" i="2"/>
  <c r="D3384" i="2" s="1"/>
  <c r="B3387" i="2"/>
  <c r="B3388" i="2"/>
  <c r="D3388" i="2" s="1"/>
  <c r="B3389" i="2"/>
  <c r="D3389" i="2" s="1"/>
  <c r="B3390" i="2"/>
  <c r="D3390" i="2" s="1"/>
  <c r="B3393" i="2"/>
  <c r="B3394" i="2" s="1"/>
  <c r="D3394" i="2" s="1"/>
  <c r="B3395" i="2"/>
  <c r="D3395" i="2" s="1"/>
  <c r="B3396" i="2"/>
  <c r="D3396" i="2" s="1"/>
  <c r="B3399" i="2"/>
  <c r="B3400" i="2" s="1"/>
  <c r="D3400" i="2" s="1"/>
  <c r="B3401" i="2"/>
  <c r="D3401" i="2" s="1"/>
  <c r="B3405" i="2"/>
  <c r="B3408" i="2" s="1"/>
  <c r="D3408" i="2" s="1"/>
  <c r="B3411" i="2"/>
  <c r="B3413" i="2" s="1"/>
  <c r="D3413" i="2" s="1"/>
  <c r="B3412" i="2"/>
  <c r="D3412" i="2" s="1"/>
  <c r="B3414" i="2"/>
  <c r="D3414" i="2" s="1"/>
  <c r="B3417" i="2"/>
  <c r="B3419" i="2"/>
  <c r="D3419" i="2" s="1"/>
  <c r="B3423" i="2"/>
  <c r="B3426" i="2" s="1"/>
  <c r="D3426" i="2" s="1"/>
  <c r="B3424" i="2"/>
  <c r="D3424" i="2" s="1"/>
  <c r="B3429" i="2"/>
  <c r="B3430" i="2" s="1"/>
  <c r="D3430" i="2" s="1"/>
  <c r="B3431" i="2"/>
  <c r="D3431" i="2" s="1"/>
  <c r="B3432" i="2"/>
  <c r="D3432" i="2" s="1"/>
  <c r="B3435" i="2"/>
  <c r="B3436" i="2"/>
  <c r="D3436" i="2" s="1"/>
  <c r="B3437" i="2"/>
  <c r="D3437" i="2" s="1"/>
  <c r="B3438" i="2"/>
  <c r="D3438" i="2" s="1"/>
  <c r="B3441" i="2"/>
  <c r="B3442" i="2" s="1"/>
  <c r="D3442" i="2" s="1"/>
  <c r="B3443" i="2"/>
  <c r="D3443" i="2" s="1"/>
  <c r="B3444" i="2"/>
  <c r="D3444" i="2" s="1"/>
  <c r="B3447" i="2"/>
  <c r="B3448" i="2" s="1"/>
  <c r="D3448" i="2" s="1"/>
  <c r="B3449" i="2"/>
  <c r="D3449" i="2" s="1"/>
  <c r="B3450" i="2"/>
  <c r="D3450" i="2" s="1"/>
  <c r="B3453" i="2"/>
  <c r="B3456" i="2"/>
  <c r="D3456" i="2" s="1"/>
  <c r="B3459" i="2"/>
  <c r="B3461" i="2" s="1"/>
  <c r="D3461" i="2" s="1"/>
  <c r="B3460" i="2"/>
  <c r="D3460" i="2" s="1"/>
  <c r="B3462" i="2"/>
  <c r="D3462" i="2" s="1"/>
  <c r="B3465" i="2"/>
  <c r="B3467" i="2"/>
  <c r="D3467" i="2" s="1"/>
  <c r="B3471" i="2"/>
  <c r="B3474" i="2" s="1"/>
  <c r="D3474" i="2" s="1"/>
  <c r="B3477" i="2"/>
  <c r="B3478" i="2" s="1"/>
  <c r="D3478" i="2" s="1"/>
  <c r="B3479" i="2"/>
  <c r="D3479" i="2" s="1"/>
  <c r="B3480" i="2"/>
  <c r="D3480" i="2" s="1"/>
  <c r="B3483" i="2"/>
  <c r="B3484" i="2"/>
  <c r="D3484" i="2" s="1"/>
  <c r="B3485" i="2"/>
  <c r="D3485" i="2" s="1"/>
  <c r="B3486" i="2"/>
  <c r="D3486" i="2" s="1"/>
  <c r="B3489" i="2"/>
  <c r="B3490" i="2" s="1"/>
  <c r="D3490" i="2" s="1"/>
  <c r="B3491" i="2"/>
  <c r="D3491" i="2" s="1"/>
  <c r="B3492" i="2"/>
  <c r="D3492" i="2" s="1"/>
  <c r="B3495" i="2"/>
  <c r="B3496" i="2" s="1"/>
  <c r="D3496" i="2" s="1"/>
  <c r="B3497" i="2"/>
  <c r="D3497" i="2" s="1"/>
  <c r="B3498" i="2"/>
  <c r="D3498" i="2" s="1"/>
  <c r="B3501" i="2"/>
  <c r="B3507" i="2"/>
  <c r="B3509" i="2" s="1"/>
  <c r="D3509" i="2" s="1"/>
  <c r="B3510" i="2"/>
  <c r="D3510" i="2" s="1"/>
  <c r="B3513" i="2"/>
  <c r="B3515" i="2"/>
  <c r="D3515" i="2" s="1"/>
  <c r="B3519" i="2"/>
  <c r="B3522" i="2" s="1"/>
  <c r="D3522" i="2" s="1"/>
  <c r="B3520" i="2"/>
  <c r="D3520" i="2" s="1"/>
  <c r="B3525" i="2"/>
  <c r="B3526" i="2" s="1"/>
  <c r="D3526" i="2" s="1"/>
  <c r="B3528" i="2"/>
  <c r="D3528" i="2" s="1"/>
  <c r="B3531" i="2"/>
  <c r="B3532" i="2"/>
  <c r="D3532" i="2" s="1"/>
  <c r="B3533" i="2"/>
  <c r="D3533" i="2" s="1"/>
  <c r="B3534" i="2"/>
  <c r="D3534" i="2" s="1"/>
  <c r="B3537" i="2"/>
  <c r="B3538" i="2" s="1"/>
  <c r="D3538" i="2" s="1"/>
  <c r="B3539" i="2"/>
  <c r="D3539" i="2" s="1"/>
  <c r="B3540" i="2"/>
  <c r="D3540" i="2" s="1"/>
  <c r="B3543" i="2"/>
  <c r="B3544" i="2" s="1"/>
  <c r="D3544" i="2" s="1"/>
  <c r="B3545" i="2"/>
  <c r="D3545" i="2" s="1"/>
  <c r="B3546" i="2"/>
  <c r="D3546" i="2" s="1"/>
  <c r="B3549" i="2"/>
  <c r="B3552" i="2"/>
  <c r="D3552" i="2" s="1"/>
  <c r="B3555" i="2"/>
  <c r="B3557" i="2" s="1"/>
  <c r="D3557" i="2" s="1"/>
  <c r="B3556" i="2"/>
  <c r="D3556" i="2" s="1"/>
  <c r="B3561" i="2"/>
  <c r="B3563" i="2"/>
  <c r="D3563" i="2" s="1"/>
  <c r="B3567" i="2"/>
  <c r="B3570" i="2" s="1"/>
  <c r="D3570" i="2" s="1"/>
  <c r="B3568" i="2"/>
  <c r="D3568" i="2" s="1"/>
  <c r="B3569" i="2"/>
  <c r="D3569" i="2" s="1"/>
  <c r="B3573" i="2"/>
  <c r="B3574" i="2" s="1"/>
  <c r="D3574" i="2" s="1"/>
  <c r="B3575" i="2"/>
  <c r="D3575" i="2" s="1"/>
  <c r="B3579" i="2"/>
  <c r="B3580" i="2"/>
  <c r="D3580" i="2" s="1"/>
  <c r="B3581" i="2"/>
  <c r="D3581" i="2" s="1"/>
  <c r="B3582" i="2"/>
  <c r="D3582" i="2" s="1"/>
  <c r="B3585" i="2"/>
  <c r="B3586" i="2" s="1"/>
  <c r="D3586" i="2" s="1"/>
  <c r="B3587" i="2"/>
  <c r="D3587" i="2" s="1"/>
  <c r="B3588" i="2"/>
  <c r="D3588" i="2" s="1"/>
  <c r="B3591" i="2"/>
  <c r="B3592" i="2" s="1"/>
  <c r="D3592" i="2" s="1"/>
  <c r="B3593" i="2"/>
  <c r="D3593" i="2" s="1"/>
  <c r="B3594" i="2"/>
  <c r="D3594" i="2" s="1"/>
  <c r="B3597" i="2"/>
  <c r="B3600" i="2"/>
  <c r="D3600" i="2" s="1"/>
  <c r="B3603" i="2"/>
  <c r="B3605" i="2" s="1"/>
  <c r="D3605" i="2" s="1"/>
  <c r="B3609" i="2"/>
  <c r="B3611" i="2"/>
  <c r="D3611" i="2" s="1"/>
  <c r="B3615" i="2"/>
  <c r="B3618" i="2" s="1"/>
  <c r="D3618" i="2" s="1"/>
  <c r="B3616" i="2"/>
  <c r="D3616" i="2" s="1"/>
  <c r="B3617" i="2"/>
  <c r="D3617" i="2" s="1"/>
  <c r="B3621" i="2"/>
  <c r="B3622" i="2" s="1"/>
  <c r="D3622" i="2" s="1"/>
  <c r="B3627" i="2"/>
  <c r="B3628" i="2"/>
  <c r="D3628" i="2" s="1"/>
  <c r="B3629" i="2"/>
  <c r="D3629" i="2" s="1"/>
  <c r="B3630" i="2"/>
  <c r="D3630" i="2" s="1"/>
  <c r="B3633" i="2"/>
  <c r="B3634" i="2" s="1"/>
  <c r="D3634" i="2" s="1"/>
  <c r="B3635" i="2"/>
  <c r="D3635" i="2" s="1"/>
  <c r="B3636" i="2"/>
  <c r="D3636" i="2" s="1"/>
  <c r="B3639" i="2"/>
  <c r="B3640" i="2" s="1"/>
  <c r="D3640" i="2" s="1"/>
  <c r="B3642" i="2"/>
  <c r="D3642" i="2" s="1"/>
  <c r="B3645" i="2"/>
  <c r="B3648" i="2"/>
  <c r="D3648" i="2" s="1"/>
  <c r="B3651" i="2"/>
  <c r="B3653" i="2" s="1"/>
  <c r="D3653" i="2" s="1"/>
  <c r="B3652" i="2"/>
  <c r="D3652" i="2" s="1"/>
  <c r="B3657" i="2"/>
  <c r="B3659" i="2" s="1"/>
  <c r="D3659" i="2" s="1"/>
  <c r="B3663" i="2"/>
  <c r="B3664" i="2"/>
  <c r="D3664" i="2" s="1"/>
  <c r="B3665" i="2"/>
  <c r="D3665" i="2" s="1"/>
  <c r="B3666" i="2"/>
  <c r="D3666" i="2" s="1"/>
  <c r="B3669" i="2"/>
  <c r="B3670" i="2" s="1"/>
  <c r="D3670" i="2" s="1"/>
  <c r="B3675" i="2"/>
  <c r="B3676" i="2"/>
  <c r="D3676" i="2" s="1"/>
  <c r="B3677" i="2"/>
  <c r="D3677" i="2" s="1"/>
  <c r="B3678" i="2"/>
  <c r="D3678" i="2" s="1"/>
  <c r="B3681" i="2"/>
  <c r="B3682" i="2" s="1"/>
  <c r="D3682" i="2" s="1"/>
  <c r="B3683" i="2"/>
  <c r="D3683" i="2" s="1"/>
  <c r="B3687" i="2"/>
  <c r="B3688" i="2" s="1"/>
  <c r="D3688" i="2" s="1"/>
  <c r="B3690" i="2"/>
  <c r="D3690" i="2" s="1"/>
  <c r="B3693" i="2"/>
  <c r="B3694" i="2" s="1"/>
  <c r="D3694" i="2" s="1"/>
  <c r="B3695" i="2"/>
  <c r="D3695" i="2" s="1"/>
  <c r="B3696" i="2"/>
  <c r="D3696" i="2" s="1"/>
  <c r="B3699" i="2"/>
  <c r="B3701" i="2" s="1"/>
  <c r="D3701" i="2" s="1"/>
  <c r="B3705" i="2"/>
  <c r="B3706" i="2" s="1"/>
  <c r="D3706" i="2" s="1"/>
  <c r="B3707" i="2"/>
  <c r="D3707" i="2" s="1"/>
  <c r="B3708" i="2"/>
  <c r="D3708" i="2" s="1"/>
  <c r="B3711" i="2"/>
  <c r="B3714" i="2" s="1"/>
  <c r="D3714" i="2" s="1"/>
  <c r="B3712" i="2"/>
  <c r="D3712" i="2" s="1"/>
  <c r="B3713" i="2"/>
  <c r="D3713" i="2" s="1"/>
  <c r="B3717" i="2"/>
  <c r="B3718" i="2" s="1"/>
  <c r="D3718" i="2" s="1"/>
  <c r="B3719" i="2"/>
  <c r="D3719" i="2" s="1"/>
  <c r="B3723" i="2"/>
  <c r="B3724" i="2"/>
  <c r="D3724" i="2" s="1"/>
  <c r="B3725" i="2"/>
  <c r="D3725" i="2" s="1"/>
  <c r="B3726" i="2"/>
  <c r="D3726" i="2" s="1"/>
  <c r="B3729" i="2"/>
  <c r="B3730" i="2" s="1"/>
  <c r="D3730" i="2" s="1"/>
  <c r="B3731" i="2"/>
  <c r="D3731" i="2" s="1"/>
  <c r="B3732" i="2"/>
  <c r="D3732" i="2" s="1"/>
  <c r="B3735" i="2"/>
  <c r="B3736" i="2"/>
  <c r="D3736" i="2" s="1"/>
  <c r="B3737" i="2"/>
  <c r="D3737" i="2" s="1"/>
  <c r="B3738" i="2"/>
  <c r="D3738" i="2" s="1"/>
  <c r="B3741" i="2"/>
  <c r="B3744" i="2"/>
  <c r="D3744" i="2" s="1"/>
  <c r="B3747" i="2"/>
  <c r="B3749" i="2" s="1"/>
  <c r="D3749" i="2" s="1"/>
  <c r="B3748" i="2"/>
  <c r="D3748" i="2" s="1"/>
  <c r="B3750" i="2"/>
  <c r="D3750" i="2" s="1"/>
  <c r="B3753" i="2"/>
  <c r="B3755" i="2"/>
  <c r="D3755" i="2" s="1"/>
  <c r="B3759" i="2"/>
  <c r="B3761" i="2" s="1"/>
  <c r="D3761" i="2" s="1"/>
  <c r="B3760" i="2"/>
  <c r="D3760" i="2" s="1"/>
  <c r="B3765" i="2"/>
  <c r="B3766" i="2" s="1"/>
  <c r="D3766" i="2" s="1"/>
  <c r="B3767" i="2"/>
  <c r="D3767" i="2" s="1"/>
  <c r="B3768" i="2"/>
  <c r="D3768" i="2" s="1"/>
  <c r="B3771" i="2"/>
  <c r="B3772" i="2"/>
  <c r="D3772" i="2" s="1"/>
  <c r="B3773" i="2"/>
  <c r="D3773" i="2" s="1"/>
  <c r="B3774" i="2"/>
  <c r="D3774" i="2" s="1"/>
  <c r="B3777" i="2"/>
  <c r="B3778" i="2" s="1"/>
  <c r="D3778" i="2" s="1"/>
  <c r="B3780" i="2"/>
  <c r="D3780" i="2" s="1"/>
  <c r="B3783" i="2"/>
  <c r="B3784" i="2" s="1"/>
  <c r="D3784" i="2" s="1"/>
  <c r="B3785" i="2"/>
  <c r="D3785" i="2" s="1"/>
  <c r="B3786" i="2"/>
  <c r="D3786" i="2" s="1"/>
  <c r="B3789" i="2"/>
  <c r="B3790" i="2" s="1"/>
  <c r="D3790" i="2" s="1"/>
  <c r="B3795" i="2"/>
  <c r="B3797" i="2" s="1"/>
  <c r="D3797" i="2" s="1"/>
  <c r="B3796" i="2"/>
  <c r="D3796" i="2" s="1"/>
  <c r="B3798" i="2"/>
  <c r="D3798" i="2" s="1"/>
  <c r="B3801" i="2"/>
  <c r="B3802" i="2" s="1"/>
  <c r="D3802" i="2" s="1"/>
  <c r="B3803" i="2"/>
  <c r="D3803" i="2" s="1"/>
  <c r="B3804" i="2"/>
  <c r="D3804" i="2" s="1"/>
  <c r="B3807" i="2"/>
  <c r="B3810" i="2" s="1"/>
  <c r="D3810" i="2" s="1"/>
  <c r="B3808" i="2"/>
  <c r="D3808" i="2" s="1"/>
  <c r="B3813" i="2"/>
  <c r="B3814" i="2" s="1"/>
  <c r="D3814" i="2" s="1"/>
  <c r="B3815" i="2"/>
  <c r="D3815" i="2" s="1"/>
  <c r="B3816" i="2"/>
  <c r="D3816" i="2" s="1"/>
  <c r="B3819" i="2"/>
  <c r="B3821" i="2" s="1"/>
  <c r="D3821" i="2" s="1"/>
  <c r="B3820" i="2"/>
  <c r="D3820" i="2" s="1"/>
  <c r="B3825" i="2"/>
  <c r="B3826" i="2" s="1"/>
  <c r="D3826" i="2" s="1"/>
  <c r="B3827" i="2"/>
  <c r="D3827" i="2" s="1"/>
  <c r="B3828" i="2"/>
  <c r="D3828" i="2" s="1"/>
  <c r="B3831" i="2"/>
  <c r="B3834" i="2" s="1"/>
  <c r="D3834" i="2" s="1"/>
  <c r="B3832" i="2"/>
  <c r="D3832" i="2" s="1"/>
  <c r="B3833" i="2"/>
  <c r="D3833" i="2" s="1"/>
  <c r="B3837" i="2"/>
  <c r="B3840" i="2" s="1"/>
  <c r="D3840" i="2" s="1"/>
  <c r="B159" i="2"/>
  <c r="B162" i="2" s="1"/>
  <c r="D162" i="2" s="1"/>
  <c r="B153" i="2"/>
  <c r="B156" i="2" s="1"/>
  <c r="D156" i="2" s="1"/>
  <c r="B149" i="2"/>
  <c r="D149" i="2" s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2" i="3"/>
  <c r="B147" i="2"/>
  <c r="D146" i="2"/>
  <c r="D1" i="2"/>
  <c r="B3136" i="2" l="1"/>
  <c r="D3136" i="2" s="1"/>
  <c r="B3022" i="2"/>
  <c r="D3022" i="2" s="1"/>
  <c r="B3023" i="2"/>
  <c r="D3023" i="2" s="1"/>
  <c r="B2674" i="2"/>
  <c r="D2674" i="2" s="1"/>
  <c r="B2675" i="2"/>
  <c r="D2675" i="2" s="1"/>
  <c r="B2676" i="2"/>
  <c r="D2676" i="2" s="1"/>
  <c r="B2650" i="2"/>
  <c r="D2650" i="2" s="1"/>
  <c r="B2651" i="2"/>
  <c r="D2651" i="2" s="1"/>
  <c r="B2652" i="2"/>
  <c r="D2652" i="2" s="1"/>
  <c r="B2470" i="2"/>
  <c r="D2470" i="2" s="1"/>
  <c r="B2471" i="2"/>
  <c r="D2471" i="2" s="1"/>
  <c r="B2472" i="2"/>
  <c r="D2472" i="2" s="1"/>
  <c r="B2218" i="2"/>
  <c r="D2218" i="2" s="1"/>
  <c r="B2219" i="2"/>
  <c r="D2219" i="2" s="1"/>
  <c r="B2220" i="2"/>
  <c r="D2220" i="2" s="1"/>
  <c r="B3418" i="2"/>
  <c r="D3418" i="2" s="1"/>
  <c r="B3420" i="2"/>
  <c r="D3420" i="2" s="1"/>
  <c r="B3166" i="2"/>
  <c r="D3166" i="2" s="1"/>
  <c r="B3167" i="2"/>
  <c r="D3167" i="2" s="1"/>
  <c r="B2998" i="2"/>
  <c r="D2998" i="2" s="1"/>
  <c r="B2999" i="2"/>
  <c r="D2999" i="2" s="1"/>
  <c r="B2602" i="2"/>
  <c r="D2602" i="2" s="1"/>
  <c r="B2603" i="2"/>
  <c r="D2603" i="2" s="1"/>
  <c r="B2604" i="2"/>
  <c r="D2604" i="2" s="1"/>
  <c r="B2758" i="2"/>
  <c r="D2758" i="2" s="1"/>
  <c r="B2759" i="2"/>
  <c r="D2759" i="2" s="1"/>
  <c r="B2760" i="2"/>
  <c r="D2760" i="2" s="1"/>
  <c r="B2554" i="2"/>
  <c r="D2554" i="2" s="1"/>
  <c r="B2555" i="2"/>
  <c r="D2555" i="2" s="1"/>
  <c r="B2556" i="2"/>
  <c r="D2556" i="2" s="1"/>
  <c r="B2380" i="2"/>
  <c r="D2380" i="2" s="1"/>
  <c r="B2382" i="2"/>
  <c r="D2382" i="2" s="1"/>
  <c r="B3034" i="2"/>
  <c r="D3034" i="2" s="1"/>
  <c r="B3035" i="2"/>
  <c r="D3035" i="2" s="1"/>
  <c r="B3036" i="2"/>
  <c r="D3036" i="2" s="1"/>
  <c r="B2506" i="2"/>
  <c r="D2506" i="2" s="1"/>
  <c r="B2507" i="2"/>
  <c r="D2507" i="2" s="1"/>
  <c r="B2508" i="2"/>
  <c r="D2508" i="2" s="1"/>
  <c r="B2080" i="2"/>
  <c r="D2080" i="2" s="1"/>
  <c r="B2081" i="2"/>
  <c r="D2081" i="2" s="1"/>
  <c r="B2082" i="2"/>
  <c r="D2082" i="2" s="1"/>
  <c r="B1278" i="2"/>
  <c r="D1278" i="2" s="1"/>
  <c r="B1276" i="2"/>
  <c r="D1276" i="2" s="1"/>
  <c r="B1277" i="2"/>
  <c r="D1277" i="2" s="1"/>
  <c r="B904" i="2"/>
  <c r="D904" i="2" s="1"/>
  <c r="B906" i="2"/>
  <c r="D906" i="2" s="1"/>
  <c r="B905" i="2"/>
  <c r="D905" i="2" s="1"/>
  <c r="B3310" i="2"/>
  <c r="D3310" i="2" s="1"/>
  <c r="B3311" i="2"/>
  <c r="D3311" i="2" s="1"/>
  <c r="B3502" i="2"/>
  <c r="D3502" i="2" s="1"/>
  <c r="B3503" i="2"/>
  <c r="D3503" i="2" s="1"/>
  <c r="B3370" i="2"/>
  <c r="D3370" i="2" s="1"/>
  <c r="B3372" i="2"/>
  <c r="D3372" i="2" s="1"/>
  <c r="B3118" i="2"/>
  <c r="D3118" i="2" s="1"/>
  <c r="B3119" i="2"/>
  <c r="D3119" i="2" s="1"/>
  <c r="B2914" i="2"/>
  <c r="D2914" i="2" s="1"/>
  <c r="B2915" i="2"/>
  <c r="D2915" i="2" s="1"/>
  <c r="B2916" i="2"/>
  <c r="D2916" i="2" s="1"/>
  <c r="B2830" i="2"/>
  <c r="D2830" i="2" s="1"/>
  <c r="B2831" i="2"/>
  <c r="D2831" i="2" s="1"/>
  <c r="B2128" i="2"/>
  <c r="D2128" i="2" s="1"/>
  <c r="B2129" i="2"/>
  <c r="D2129" i="2" s="1"/>
  <c r="B2052" i="2"/>
  <c r="D2052" i="2" s="1"/>
  <c r="B2051" i="2"/>
  <c r="D2051" i="2" s="1"/>
  <c r="B1644" i="2"/>
  <c r="D1644" i="2" s="1"/>
  <c r="B1643" i="2"/>
  <c r="D1643" i="2" s="1"/>
  <c r="B3082" i="2"/>
  <c r="D3082" i="2" s="1"/>
  <c r="B3083" i="2"/>
  <c r="D3083" i="2" s="1"/>
  <c r="B3084" i="2"/>
  <c r="D3084" i="2" s="1"/>
  <c r="B2626" i="2"/>
  <c r="D2626" i="2" s="1"/>
  <c r="B2627" i="2"/>
  <c r="D2627" i="2" s="1"/>
  <c r="B2628" i="2"/>
  <c r="D2628" i="2" s="1"/>
  <c r="B2422" i="2"/>
  <c r="D2422" i="2" s="1"/>
  <c r="B2423" i="2"/>
  <c r="D2423" i="2" s="1"/>
  <c r="B2424" i="2"/>
  <c r="D2424" i="2" s="1"/>
  <c r="B2148" i="2"/>
  <c r="D2148" i="2" s="1"/>
  <c r="B2146" i="2"/>
  <c r="D2146" i="2" s="1"/>
  <c r="B1984" i="2"/>
  <c r="D1984" i="2" s="1"/>
  <c r="B1985" i="2"/>
  <c r="D1985" i="2" s="1"/>
  <c r="B1986" i="2"/>
  <c r="D1986" i="2" s="1"/>
  <c r="B3598" i="2"/>
  <c r="D3598" i="2" s="1"/>
  <c r="B3599" i="2"/>
  <c r="D3599" i="2" s="1"/>
  <c r="B3466" i="2"/>
  <c r="D3466" i="2" s="1"/>
  <c r="B3468" i="2"/>
  <c r="D3468" i="2" s="1"/>
  <c r="B2866" i="2"/>
  <c r="D2866" i="2" s="1"/>
  <c r="B2867" i="2"/>
  <c r="D2867" i="2" s="1"/>
  <c r="B2868" i="2"/>
  <c r="D2868" i="2" s="1"/>
  <c r="B2578" i="2"/>
  <c r="D2578" i="2" s="1"/>
  <c r="B2579" i="2"/>
  <c r="D2579" i="2" s="1"/>
  <c r="B2580" i="2"/>
  <c r="D2580" i="2" s="1"/>
  <c r="B1710" i="2"/>
  <c r="D1710" i="2" s="1"/>
  <c r="B1708" i="2"/>
  <c r="D1708" i="2" s="1"/>
  <c r="B1709" i="2"/>
  <c r="D1709" i="2" s="1"/>
  <c r="B3130" i="2"/>
  <c r="D3130" i="2" s="1"/>
  <c r="B3132" i="2"/>
  <c r="D3132" i="2" s="1"/>
  <c r="B2842" i="2"/>
  <c r="D2842" i="2" s="1"/>
  <c r="B2843" i="2"/>
  <c r="D2843" i="2" s="1"/>
  <c r="B2844" i="2"/>
  <c r="D2844" i="2" s="1"/>
  <c r="B2530" i="2"/>
  <c r="D2530" i="2" s="1"/>
  <c r="B2531" i="2"/>
  <c r="D2531" i="2" s="1"/>
  <c r="B2532" i="2"/>
  <c r="D2532" i="2" s="1"/>
  <c r="B1326" i="2"/>
  <c r="D1326" i="2" s="1"/>
  <c r="B1324" i="2"/>
  <c r="D1324" i="2" s="1"/>
  <c r="B1325" i="2"/>
  <c r="D1325" i="2" s="1"/>
  <c r="B232" i="2"/>
  <c r="D232" i="2" s="1"/>
  <c r="B233" i="2"/>
  <c r="D233" i="2" s="1"/>
  <c r="B234" i="2"/>
  <c r="D234" i="2" s="1"/>
  <c r="B172" i="2"/>
  <c r="D172" i="2" s="1"/>
  <c r="B174" i="2"/>
  <c r="D174" i="2" s="1"/>
  <c r="B3562" i="2"/>
  <c r="D3562" i="2" s="1"/>
  <c r="B3564" i="2"/>
  <c r="D3564" i="2" s="1"/>
  <c r="B3178" i="2"/>
  <c r="D3178" i="2" s="1"/>
  <c r="B3180" i="2"/>
  <c r="D3180" i="2" s="1"/>
  <c r="B2926" i="2"/>
  <c r="D2926" i="2" s="1"/>
  <c r="B2927" i="2"/>
  <c r="D2927" i="2" s="1"/>
  <c r="B2818" i="2"/>
  <c r="D2818" i="2" s="1"/>
  <c r="B2819" i="2"/>
  <c r="D2819" i="2" s="1"/>
  <c r="B2820" i="2"/>
  <c r="D2820" i="2" s="1"/>
  <c r="B2662" i="2"/>
  <c r="D2662" i="2" s="1"/>
  <c r="B2663" i="2"/>
  <c r="D2663" i="2" s="1"/>
  <c r="B2664" i="2"/>
  <c r="D2664" i="2" s="1"/>
  <c r="B2482" i="2"/>
  <c r="D2482" i="2" s="1"/>
  <c r="B2483" i="2"/>
  <c r="D2483" i="2" s="1"/>
  <c r="B2484" i="2"/>
  <c r="D2484" i="2" s="1"/>
  <c r="B2284" i="2"/>
  <c r="D2284" i="2" s="1"/>
  <c r="B2286" i="2"/>
  <c r="D2286" i="2" s="1"/>
  <c r="B2231" i="2"/>
  <c r="D2231" i="2" s="1"/>
  <c r="B2232" i="2"/>
  <c r="D2232" i="2" s="1"/>
  <c r="B2230" i="2"/>
  <c r="D2230" i="2" s="1"/>
  <c r="B2039" i="2"/>
  <c r="D2039" i="2" s="1"/>
  <c r="B2040" i="2"/>
  <c r="D2040" i="2" s="1"/>
  <c r="B2038" i="2"/>
  <c r="D2038" i="2" s="1"/>
  <c r="B1798" i="2"/>
  <c r="D1798" i="2" s="1"/>
  <c r="B1799" i="2"/>
  <c r="D1799" i="2" s="1"/>
  <c r="B1434" i="2"/>
  <c r="D1434" i="2" s="1"/>
  <c r="B1433" i="2"/>
  <c r="D1433" i="2" s="1"/>
  <c r="B364" i="2"/>
  <c r="D364" i="2" s="1"/>
  <c r="B366" i="2"/>
  <c r="D366" i="2" s="1"/>
  <c r="B3809" i="2"/>
  <c r="D3809" i="2" s="1"/>
  <c r="B3779" i="2"/>
  <c r="D3779" i="2" s="1"/>
  <c r="B3720" i="2"/>
  <c r="D3720" i="2" s="1"/>
  <c r="B3689" i="2"/>
  <c r="D3689" i="2" s="1"/>
  <c r="B3641" i="2"/>
  <c r="D3641" i="2" s="1"/>
  <c r="B3610" i="2"/>
  <c r="D3610" i="2" s="1"/>
  <c r="B3612" i="2"/>
  <c r="D3612" i="2" s="1"/>
  <c r="B3576" i="2"/>
  <c r="D3576" i="2" s="1"/>
  <c r="B3558" i="2"/>
  <c r="D3558" i="2" s="1"/>
  <c r="B3527" i="2"/>
  <c r="D3527" i="2" s="1"/>
  <c r="B3508" i="2"/>
  <c r="D3508" i="2" s="1"/>
  <c r="B3425" i="2"/>
  <c r="D3425" i="2" s="1"/>
  <c r="B3376" i="2"/>
  <c r="D3376" i="2" s="1"/>
  <c r="B3358" i="2"/>
  <c r="D3358" i="2" s="1"/>
  <c r="B3359" i="2"/>
  <c r="D3359" i="2" s="1"/>
  <c r="B3306" i="2"/>
  <c r="D3306" i="2" s="1"/>
  <c r="B3257" i="2"/>
  <c r="D3257" i="2" s="1"/>
  <c r="B3226" i="2"/>
  <c r="D3226" i="2" s="1"/>
  <c r="B3228" i="2"/>
  <c r="D3228" i="2" s="1"/>
  <c r="B3192" i="2"/>
  <c r="D3192" i="2" s="1"/>
  <c r="B3174" i="2"/>
  <c r="D3174" i="2" s="1"/>
  <c r="B3143" i="2"/>
  <c r="D3143" i="2" s="1"/>
  <c r="B3124" i="2"/>
  <c r="D3124" i="2" s="1"/>
  <c r="B3029" i="2"/>
  <c r="D3029" i="2" s="1"/>
  <c r="B3006" i="2"/>
  <c r="D3006" i="2" s="1"/>
  <c r="B2986" i="2"/>
  <c r="D2986" i="2" s="1"/>
  <c r="B2987" i="2"/>
  <c r="D2987" i="2" s="1"/>
  <c r="B2988" i="2"/>
  <c r="D2988" i="2" s="1"/>
  <c r="B2944" i="2"/>
  <c r="D2944" i="2" s="1"/>
  <c r="B2921" i="2"/>
  <c r="D2921" i="2" s="1"/>
  <c r="B2902" i="2"/>
  <c r="D2902" i="2" s="1"/>
  <c r="B2903" i="2"/>
  <c r="D2903" i="2" s="1"/>
  <c r="B2837" i="2"/>
  <c r="D2837" i="2" s="1"/>
  <c r="B2814" i="2"/>
  <c r="D2814" i="2" s="1"/>
  <c r="B2794" i="2"/>
  <c r="D2794" i="2" s="1"/>
  <c r="B2795" i="2"/>
  <c r="D2795" i="2" s="1"/>
  <c r="B2796" i="2"/>
  <c r="D2796" i="2" s="1"/>
  <c r="B2704" i="2"/>
  <c r="D2704" i="2" s="1"/>
  <c r="B2658" i="2"/>
  <c r="D2658" i="2" s="1"/>
  <c r="B2614" i="2"/>
  <c r="D2614" i="2" s="1"/>
  <c r="B2615" i="2"/>
  <c r="D2615" i="2" s="1"/>
  <c r="B2616" i="2"/>
  <c r="D2616" i="2" s="1"/>
  <c r="B2525" i="2"/>
  <c r="D2525" i="2" s="1"/>
  <c r="B2500" i="2"/>
  <c r="D2500" i="2" s="1"/>
  <c r="B2478" i="2"/>
  <c r="D2478" i="2" s="1"/>
  <c r="B2453" i="2"/>
  <c r="D2453" i="2" s="1"/>
  <c r="B2434" i="2"/>
  <c r="D2434" i="2" s="1"/>
  <c r="B2435" i="2"/>
  <c r="D2435" i="2" s="1"/>
  <c r="B2436" i="2"/>
  <c r="D2436" i="2" s="1"/>
  <c r="B2410" i="2"/>
  <c r="D2410" i="2" s="1"/>
  <c r="B2411" i="2"/>
  <c r="D2411" i="2" s="1"/>
  <c r="B2412" i="2"/>
  <c r="D2412" i="2" s="1"/>
  <c r="B2392" i="2"/>
  <c r="D2392" i="2" s="1"/>
  <c r="B2393" i="2"/>
  <c r="D2393" i="2" s="1"/>
  <c r="B1914" i="2"/>
  <c r="D1914" i="2" s="1"/>
  <c r="B1913" i="2"/>
  <c r="D1913" i="2" s="1"/>
  <c r="B1912" i="2"/>
  <c r="D1912" i="2" s="1"/>
  <c r="B1824" i="2"/>
  <c r="D1824" i="2" s="1"/>
  <c r="B1822" i="2"/>
  <c r="D1822" i="2" s="1"/>
  <c r="B1823" i="2"/>
  <c r="D1823" i="2" s="1"/>
  <c r="B1529" i="2"/>
  <c r="D1529" i="2" s="1"/>
  <c r="B1494" i="2"/>
  <c r="D1494" i="2" s="1"/>
  <c r="B1493" i="2"/>
  <c r="D1493" i="2" s="1"/>
  <c r="B724" i="2"/>
  <c r="D724" i="2" s="1"/>
  <c r="B725" i="2"/>
  <c r="D725" i="2" s="1"/>
  <c r="B726" i="2"/>
  <c r="D726" i="2" s="1"/>
  <c r="B520" i="2"/>
  <c r="D520" i="2" s="1"/>
  <c r="B522" i="2"/>
  <c r="D522" i="2" s="1"/>
  <c r="B521" i="2"/>
  <c r="D521" i="2" s="1"/>
  <c r="B472" i="2"/>
  <c r="D472" i="2" s="1"/>
  <c r="B474" i="2"/>
  <c r="D474" i="2" s="1"/>
  <c r="B424" i="2"/>
  <c r="D424" i="2" s="1"/>
  <c r="B426" i="2"/>
  <c r="D426" i="2" s="1"/>
  <c r="B328" i="2"/>
  <c r="D328" i="2" s="1"/>
  <c r="B330" i="2"/>
  <c r="D330" i="2" s="1"/>
  <c r="B329" i="2"/>
  <c r="D329" i="2" s="1"/>
  <c r="B280" i="2"/>
  <c r="D280" i="2" s="1"/>
  <c r="B282" i="2"/>
  <c r="D282" i="2" s="1"/>
  <c r="B3742" i="2"/>
  <c r="D3742" i="2" s="1"/>
  <c r="B3743" i="2"/>
  <c r="D3743" i="2" s="1"/>
  <c r="B3550" i="2"/>
  <c r="D3550" i="2" s="1"/>
  <c r="B3551" i="2"/>
  <c r="D3551" i="2" s="1"/>
  <c r="B2806" i="2"/>
  <c r="D2806" i="2" s="1"/>
  <c r="B2807" i="2"/>
  <c r="D2807" i="2" s="1"/>
  <c r="B2782" i="2"/>
  <c r="D2782" i="2" s="1"/>
  <c r="B2783" i="2"/>
  <c r="D2783" i="2" s="1"/>
  <c r="B1422" i="2"/>
  <c r="D1422" i="2" s="1"/>
  <c r="B1420" i="2"/>
  <c r="D1420" i="2" s="1"/>
  <c r="B3754" i="2"/>
  <c r="D3754" i="2" s="1"/>
  <c r="B3756" i="2"/>
  <c r="D3756" i="2" s="1"/>
  <c r="B3646" i="2"/>
  <c r="D3646" i="2" s="1"/>
  <c r="B3647" i="2"/>
  <c r="D3647" i="2" s="1"/>
  <c r="B3514" i="2"/>
  <c r="D3514" i="2" s="1"/>
  <c r="B3516" i="2"/>
  <c r="D3516" i="2" s="1"/>
  <c r="B2950" i="2"/>
  <c r="D2950" i="2" s="1"/>
  <c r="B2951" i="2"/>
  <c r="D2951" i="2" s="1"/>
  <c r="B2710" i="2"/>
  <c r="D2710" i="2" s="1"/>
  <c r="B2711" i="2"/>
  <c r="D2711" i="2" s="1"/>
  <c r="B2712" i="2"/>
  <c r="D2712" i="2" s="1"/>
  <c r="B2116" i="2"/>
  <c r="D2116" i="2" s="1"/>
  <c r="B2117" i="2"/>
  <c r="D2117" i="2" s="1"/>
  <c r="B3010" i="2"/>
  <c r="D3010" i="2" s="1"/>
  <c r="B3011" i="2"/>
  <c r="D3011" i="2" s="1"/>
  <c r="B3012" i="2"/>
  <c r="D3012" i="2" s="1"/>
  <c r="B2458" i="2"/>
  <c r="D2458" i="2" s="1"/>
  <c r="B2459" i="2"/>
  <c r="D2459" i="2" s="1"/>
  <c r="B2460" i="2"/>
  <c r="D2460" i="2" s="1"/>
  <c r="B2176" i="2"/>
  <c r="D2176" i="2" s="1"/>
  <c r="B2177" i="2"/>
  <c r="D2177" i="2" s="1"/>
  <c r="B2178" i="2"/>
  <c r="D2178" i="2" s="1"/>
  <c r="B1996" i="2"/>
  <c r="D1996" i="2" s="1"/>
  <c r="B1998" i="2"/>
  <c r="D1998" i="2" s="1"/>
  <c r="B1770" i="2"/>
  <c r="D1770" i="2" s="1"/>
  <c r="B1769" i="2"/>
  <c r="D1769" i="2" s="1"/>
  <c r="B3838" i="2"/>
  <c r="D3838" i="2" s="1"/>
  <c r="B3839" i="2"/>
  <c r="D3839" i="2" s="1"/>
  <c r="B3822" i="2"/>
  <c r="D3822" i="2" s="1"/>
  <c r="B3792" i="2"/>
  <c r="D3792" i="2" s="1"/>
  <c r="B3762" i="2"/>
  <c r="D3762" i="2" s="1"/>
  <c r="B3702" i="2"/>
  <c r="D3702" i="2" s="1"/>
  <c r="B3672" i="2"/>
  <c r="D3672" i="2" s="1"/>
  <c r="B3658" i="2"/>
  <c r="D3658" i="2" s="1"/>
  <c r="B3660" i="2"/>
  <c r="D3660" i="2" s="1"/>
  <c r="B3624" i="2"/>
  <c r="D3624" i="2" s="1"/>
  <c r="B3606" i="2"/>
  <c r="D3606" i="2" s="1"/>
  <c r="B3473" i="2"/>
  <c r="D3473" i="2" s="1"/>
  <c r="B3406" i="2"/>
  <c r="D3406" i="2" s="1"/>
  <c r="B3407" i="2"/>
  <c r="D3407" i="2" s="1"/>
  <c r="B3354" i="2"/>
  <c r="D3354" i="2" s="1"/>
  <c r="B3274" i="2"/>
  <c r="D3274" i="2" s="1"/>
  <c r="B3276" i="2"/>
  <c r="D3276" i="2" s="1"/>
  <c r="B3240" i="2"/>
  <c r="D3240" i="2" s="1"/>
  <c r="B3222" i="2"/>
  <c r="D3222" i="2" s="1"/>
  <c r="B3089" i="2"/>
  <c r="D3089" i="2" s="1"/>
  <c r="B3070" i="2"/>
  <c r="D3070" i="2" s="1"/>
  <c r="B3071" i="2"/>
  <c r="D3071" i="2" s="1"/>
  <c r="B2982" i="2"/>
  <c r="D2982" i="2" s="1"/>
  <c r="B2962" i="2"/>
  <c r="D2962" i="2" s="1"/>
  <c r="B2963" i="2"/>
  <c r="D2963" i="2" s="1"/>
  <c r="B2964" i="2"/>
  <c r="D2964" i="2" s="1"/>
  <c r="B2897" i="2"/>
  <c r="D2897" i="2" s="1"/>
  <c r="B2878" i="2"/>
  <c r="D2878" i="2" s="1"/>
  <c r="B2879" i="2"/>
  <c r="D2879" i="2" s="1"/>
  <c r="B2790" i="2"/>
  <c r="D2790" i="2" s="1"/>
  <c r="B2770" i="2"/>
  <c r="D2770" i="2" s="1"/>
  <c r="B2771" i="2"/>
  <c r="D2771" i="2" s="1"/>
  <c r="B2772" i="2"/>
  <c r="D2772" i="2" s="1"/>
  <c r="B2746" i="2"/>
  <c r="D2746" i="2" s="1"/>
  <c r="B2747" i="2"/>
  <c r="D2747" i="2" s="1"/>
  <c r="B2748" i="2"/>
  <c r="D2748" i="2" s="1"/>
  <c r="B2610" i="2"/>
  <c r="D2610" i="2" s="1"/>
  <c r="B2566" i="2"/>
  <c r="D2566" i="2" s="1"/>
  <c r="B2567" i="2"/>
  <c r="D2567" i="2" s="1"/>
  <c r="B2568" i="2"/>
  <c r="D2568" i="2" s="1"/>
  <c r="B2430" i="2"/>
  <c r="D2430" i="2" s="1"/>
  <c r="B2352" i="2"/>
  <c r="D2352" i="2" s="1"/>
  <c r="B2172" i="2"/>
  <c r="D2172" i="2" s="1"/>
  <c r="B2170" i="2"/>
  <c r="D2170" i="2" s="1"/>
  <c r="B2135" i="2"/>
  <c r="D2135" i="2" s="1"/>
  <c r="B2136" i="2"/>
  <c r="D2136" i="2" s="1"/>
  <c r="B2092" i="2"/>
  <c r="D2092" i="2" s="1"/>
  <c r="B2094" i="2"/>
  <c r="D2094" i="2" s="1"/>
  <c r="B2093" i="2"/>
  <c r="D2093" i="2" s="1"/>
  <c r="B2032" i="2"/>
  <c r="D2032" i="2" s="1"/>
  <c r="B2034" i="2"/>
  <c r="D2034" i="2" s="1"/>
  <c r="B1956" i="2"/>
  <c r="D1956" i="2" s="1"/>
  <c r="B1954" i="2"/>
  <c r="D1954" i="2" s="1"/>
  <c r="B1878" i="2"/>
  <c r="D1878" i="2" s="1"/>
  <c r="B1877" i="2"/>
  <c r="D1877" i="2" s="1"/>
  <c r="B1626" i="2"/>
  <c r="D1626" i="2" s="1"/>
  <c r="B1624" i="2"/>
  <c r="D1624" i="2" s="1"/>
  <c r="B1528" i="2"/>
  <c r="D1528" i="2" s="1"/>
  <c r="B1120" i="2"/>
  <c r="D1120" i="2" s="1"/>
  <c r="B1122" i="2"/>
  <c r="D1122" i="2" s="1"/>
  <c r="B1121" i="2"/>
  <c r="D1121" i="2" s="1"/>
  <c r="B916" i="2"/>
  <c r="D916" i="2" s="1"/>
  <c r="B918" i="2"/>
  <c r="D918" i="2" s="1"/>
  <c r="B2890" i="2"/>
  <c r="D2890" i="2" s="1"/>
  <c r="B2891" i="2"/>
  <c r="D2891" i="2" s="1"/>
  <c r="B2892" i="2"/>
  <c r="D2892" i="2" s="1"/>
  <c r="B1374" i="2"/>
  <c r="D1374" i="2" s="1"/>
  <c r="B1372" i="2"/>
  <c r="D1372" i="2" s="1"/>
  <c r="B1373" i="2"/>
  <c r="D1373" i="2" s="1"/>
  <c r="B1194" i="2"/>
  <c r="D1194" i="2" s="1"/>
  <c r="B1193" i="2"/>
  <c r="D1193" i="2" s="1"/>
  <c r="B352" i="2"/>
  <c r="D352" i="2" s="1"/>
  <c r="B353" i="2"/>
  <c r="D353" i="2" s="1"/>
  <c r="B354" i="2"/>
  <c r="D354" i="2" s="1"/>
  <c r="B3214" i="2"/>
  <c r="D3214" i="2" s="1"/>
  <c r="B3215" i="2"/>
  <c r="D3215" i="2" s="1"/>
  <c r="B3058" i="2"/>
  <c r="D3058" i="2" s="1"/>
  <c r="B3059" i="2"/>
  <c r="D3059" i="2" s="1"/>
  <c r="B3060" i="2"/>
  <c r="D3060" i="2" s="1"/>
  <c r="B2974" i="2"/>
  <c r="D2974" i="2" s="1"/>
  <c r="B2975" i="2"/>
  <c r="D2975" i="2" s="1"/>
  <c r="B856" i="2"/>
  <c r="D856" i="2" s="1"/>
  <c r="B858" i="2"/>
  <c r="D858" i="2" s="1"/>
  <c r="B857" i="2"/>
  <c r="D857" i="2" s="1"/>
  <c r="B3262" i="2"/>
  <c r="D3262" i="2" s="1"/>
  <c r="B3263" i="2"/>
  <c r="D3263" i="2" s="1"/>
  <c r="B3791" i="2"/>
  <c r="D3791" i="2" s="1"/>
  <c r="B3700" i="2"/>
  <c r="D3700" i="2" s="1"/>
  <c r="B3684" i="2"/>
  <c r="D3684" i="2" s="1"/>
  <c r="B3671" i="2"/>
  <c r="D3671" i="2" s="1"/>
  <c r="B3654" i="2"/>
  <c r="D3654" i="2" s="1"/>
  <c r="B3623" i="2"/>
  <c r="D3623" i="2" s="1"/>
  <c r="B3604" i="2"/>
  <c r="D3604" i="2" s="1"/>
  <c r="B3521" i="2"/>
  <c r="D3521" i="2" s="1"/>
  <c r="B3504" i="2"/>
  <c r="D3504" i="2" s="1"/>
  <c r="B3472" i="2"/>
  <c r="D3472" i="2" s="1"/>
  <c r="B3454" i="2"/>
  <c r="D3454" i="2" s="1"/>
  <c r="B3455" i="2"/>
  <c r="D3455" i="2" s="1"/>
  <c r="B3402" i="2"/>
  <c r="D3402" i="2" s="1"/>
  <c r="B3371" i="2"/>
  <c r="D3371" i="2" s="1"/>
  <c r="B3353" i="2"/>
  <c r="D3353" i="2" s="1"/>
  <c r="B3322" i="2"/>
  <c r="D3322" i="2" s="1"/>
  <c r="B3324" i="2"/>
  <c r="D3324" i="2" s="1"/>
  <c r="B3288" i="2"/>
  <c r="D3288" i="2" s="1"/>
  <c r="B3270" i="2"/>
  <c r="D3270" i="2" s="1"/>
  <c r="B3239" i="2"/>
  <c r="D3239" i="2" s="1"/>
  <c r="B3220" i="2"/>
  <c r="D3220" i="2" s="1"/>
  <c r="B3137" i="2"/>
  <c r="D3137" i="2" s="1"/>
  <c r="B3120" i="2"/>
  <c r="D3120" i="2" s="1"/>
  <c r="B3088" i="2"/>
  <c r="D3088" i="2" s="1"/>
  <c r="B3065" i="2"/>
  <c r="D3065" i="2" s="1"/>
  <c r="B3046" i="2"/>
  <c r="D3046" i="2" s="1"/>
  <c r="B3047" i="2"/>
  <c r="D3047" i="2" s="1"/>
  <c r="B3024" i="2"/>
  <c r="D3024" i="2" s="1"/>
  <c r="B2981" i="2"/>
  <c r="D2981" i="2" s="1"/>
  <c r="B2958" i="2"/>
  <c r="D2958" i="2" s="1"/>
  <c r="B2938" i="2"/>
  <c r="D2938" i="2" s="1"/>
  <c r="B2939" i="2"/>
  <c r="D2939" i="2" s="1"/>
  <c r="B2940" i="2"/>
  <c r="D2940" i="2" s="1"/>
  <c r="B2896" i="2"/>
  <c r="D2896" i="2" s="1"/>
  <c r="B2873" i="2"/>
  <c r="D2873" i="2" s="1"/>
  <c r="B2854" i="2"/>
  <c r="D2854" i="2" s="1"/>
  <c r="B2855" i="2"/>
  <c r="D2855" i="2" s="1"/>
  <c r="B2832" i="2"/>
  <c r="D2832" i="2" s="1"/>
  <c r="B2789" i="2"/>
  <c r="D2789" i="2" s="1"/>
  <c r="B2766" i="2"/>
  <c r="D2766" i="2" s="1"/>
  <c r="B2741" i="2"/>
  <c r="D2741" i="2" s="1"/>
  <c r="B2722" i="2"/>
  <c r="D2722" i="2" s="1"/>
  <c r="B2723" i="2"/>
  <c r="D2723" i="2" s="1"/>
  <c r="B2724" i="2"/>
  <c r="D2724" i="2" s="1"/>
  <c r="B2698" i="2"/>
  <c r="D2698" i="2" s="1"/>
  <c r="B2699" i="2"/>
  <c r="D2699" i="2" s="1"/>
  <c r="B2700" i="2"/>
  <c r="D2700" i="2" s="1"/>
  <c r="B2608" i="2"/>
  <c r="D2608" i="2" s="1"/>
  <c r="B2562" i="2"/>
  <c r="D2562" i="2" s="1"/>
  <c r="B2518" i="2"/>
  <c r="D2518" i="2" s="1"/>
  <c r="B2519" i="2"/>
  <c r="D2519" i="2" s="1"/>
  <c r="B2520" i="2"/>
  <c r="D2520" i="2" s="1"/>
  <c r="B2429" i="2"/>
  <c r="D2429" i="2" s="1"/>
  <c r="B2404" i="2"/>
  <c r="D2404" i="2" s="1"/>
  <c r="B2406" i="2"/>
  <c r="D2406" i="2" s="1"/>
  <c r="B2368" i="2"/>
  <c r="D2368" i="2" s="1"/>
  <c r="B2369" i="2"/>
  <c r="D2369" i="2" s="1"/>
  <c r="B2370" i="2"/>
  <c r="D2370" i="2" s="1"/>
  <c r="B2350" i="2"/>
  <c r="D2350" i="2" s="1"/>
  <c r="B2310" i="2"/>
  <c r="D2310" i="2" s="1"/>
  <c r="B2130" i="2"/>
  <c r="D2130" i="2" s="1"/>
  <c r="B2050" i="2"/>
  <c r="D2050" i="2" s="1"/>
  <c r="B2026" i="2"/>
  <c r="D2026" i="2" s="1"/>
  <c r="B2027" i="2"/>
  <c r="D2027" i="2" s="1"/>
  <c r="B2028" i="2"/>
  <c r="D2028" i="2" s="1"/>
  <c r="B2008" i="2"/>
  <c r="D2008" i="2" s="1"/>
  <c r="B2009" i="2"/>
  <c r="D2009" i="2" s="1"/>
  <c r="B1907" i="2"/>
  <c r="D1907" i="2" s="1"/>
  <c r="B1908" i="2"/>
  <c r="D1908" i="2" s="1"/>
  <c r="B1818" i="2"/>
  <c r="D1818" i="2" s="1"/>
  <c r="B1816" i="2"/>
  <c r="D1816" i="2" s="1"/>
  <c r="B1722" i="2"/>
  <c r="D1722" i="2" s="1"/>
  <c r="B1720" i="2"/>
  <c r="D1720" i="2" s="1"/>
  <c r="B1642" i="2"/>
  <c r="D1642" i="2" s="1"/>
  <c r="B1036" i="2"/>
  <c r="D1036" i="2" s="1"/>
  <c r="B1037" i="2"/>
  <c r="D1037" i="2" s="1"/>
  <c r="B1038" i="2"/>
  <c r="D1038" i="2" s="1"/>
  <c r="B988" i="2"/>
  <c r="D988" i="2" s="1"/>
  <c r="B989" i="2"/>
  <c r="D989" i="2" s="1"/>
  <c r="B990" i="2"/>
  <c r="D990" i="2" s="1"/>
  <c r="B2734" i="2"/>
  <c r="D2734" i="2" s="1"/>
  <c r="B2735" i="2"/>
  <c r="D2735" i="2" s="1"/>
  <c r="B2736" i="2"/>
  <c r="D2736" i="2" s="1"/>
  <c r="B2638" i="2"/>
  <c r="D2638" i="2" s="1"/>
  <c r="B2639" i="2"/>
  <c r="D2639" i="2" s="1"/>
  <c r="B2640" i="2"/>
  <c r="D2640" i="2" s="1"/>
  <c r="B2542" i="2"/>
  <c r="D2542" i="2" s="1"/>
  <c r="B2543" i="2"/>
  <c r="D2543" i="2" s="1"/>
  <c r="B2544" i="2"/>
  <c r="D2544" i="2" s="1"/>
  <c r="B2446" i="2"/>
  <c r="D2446" i="2" s="1"/>
  <c r="B2447" i="2"/>
  <c r="D2447" i="2" s="1"/>
  <c r="B2448" i="2"/>
  <c r="D2448" i="2" s="1"/>
  <c r="B2327" i="2"/>
  <c r="D2327" i="2" s="1"/>
  <c r="B2328" i="2"/>
  <c r="D2328" i="2" s="1"/>
  <c r="B2272" i="2"/>
  <c r="D2272" i="2" s="1"/>
  <c r="B2273" i="2"/>
  <c r="D2273" i="2" s="1"/>
  <c r="B2274" i="2"/>
  <c r="D2274" i="2" s="1"/>
  <c r="B2188" i="2"/>
  <c r="D2188" i="2" s="1"/>
  <c r="B2190" i="2"/>
  <c r="D2190" i="2" s="1"/>
  <c r="B1930" i="2"/>
  <c r="D1930" i="2" s="1"/>
  <c r="B1931" i="2"/>
  <c r="D1931" i="2" s="1"/>
  <c r="B1932" i="2"/>
  <c r="D1932" i="2" s="1"/>
  <c r="B1866" i="2"/>
  <c r="D1866" i="2" s="1"/>
  <c r="B1865" i="2"/>
  <c r="D1865" i="2" s="1"/>
  <c r="B1806" i="2"/>
  <c r="D1806" i="2" s="1"/>
  <c r="B1804" i="2"/>
  <c r="D1804" i="2" s="1"/>
  <c r="B1805" i="2"/>
  <c r="D1805" i="2" s="1"/>
  <c r="B1536" i="2"/>
  <c r="D1536" i="2" s="1"/>
  <c r="B1534" i="2"/>
  <c r="D1534" i="2" s="1"/>
  <c r="B1535" i="2"/>
  <c r="D1535" i="2" s="1"/>
  <c r="B1510" i="2"/>
  <c r="D1510" i="2" s="1"/>
  <c r="B1511" i="2"/>
  <c r="D1511" i="2" s="1"/>
  <c r="B1482" i="2"/>
  <c r="D1482" i="2" s="1"/>
  <c r="B1481" i="2"/>
  <c r="D1481" i="2" s="1"/>
  <c r="B1072" i="2"/>
  <c r="D1072" i="2" s="1"/>
  <c r="B1073" i="2"/>
  <c r="D1073" i="2" s="1"/>
  <c r="B1074" i="2"/>
  <c r="D1074" i="2" s="1"/>
  <c r="B808" i="2"/>
  <c r="D808" i="2" s="1"/>
  <c r="B810" i="2"/>
  <c r="D810" i="2" s="1"/>
  <c r="B268" i="2"/>
  <c r="D268" i="2" s="1"/>
  <c r="B269" i="2"/>
  <c r="D269" i="2" s="1"/>
  <c r="B270" i="2"/>
  <c r="D270" i="2" s="1"/>
  <c r="B2686" i="2"/>
  <c r="D2686" i="2" s="1"/>
  <c r="B2687" i="2"/>
  <c r="D2687" i="2" s="1"/>
  <c r="B2688" i="2"/>
  <c r="D2688" i="2" s="1"/>
  <c r="B2590" i="2"/>
  <c r="D2590" i="2" s="1"/>
  <c r="B2591" i="2"/>
  <c r="D2591" i="2" s="1"/>
  <c r="B2592" i="2"/>
  <c r="D2592" i="2" s="1"/>
  <c r="B2494" i="2"/>
  <c r="D2494" i="2" s="1"/>
  <c r="B2495" i="2"/>
  <c r="D2495" i="2" s="1"/>
  <c r="B2496" i="2"/>
  <c r="D2496" i="2" s="1"/>
  <c r="B2314" i="2"/>
  <c r="D2314" i="2" s="1"/>
  <c r="B2315" i="2"/>
  <c r="D2315" i="2" s="1"/>
  <c r="B2316" i="2"/>
  <c r="D2316" i="2" s="1"/>
  <c r="B2298" i="2"/>
  <c r="D2298" i="2" s="1"/>
  <c r="B2022" i="2"/>
  <c r="D2022" i="2" s="1"/>
  <c r="B1943" i="2"/>
  <c r="D1943" i="2" s="1"/>
  <c r="B1944" i="2"/>
  <c r="D1944" i="2" s="1"/>
  <c r="B1835" i="2"/>
  <c r="D1835" i="2" s="1"/>
  <c r="B1728" i="2"/>
  <c r="D1728" i="2" s="1"/>
  <c r="B1726" i="2"/>
  <c r="D1726" i="2" s="1"/>
  <c r="B1727" i="2"/>
  <c r="D1727" i="2" s="1"/>
  <c r="B1702" i="2"/>
  <c r="D1702" i="2" s="1"/>
  <c r="B1703" i="2"/>
  <c r="D1703" i="2" s="1"/>
  <c r="B1685" i="2"/>
  <c r="D1685" i="2" s="1"/>
  <c r="B1674" i="2"/>
  <c r="D1674" i="2" s="1"/>
  <c r="B1673" i="2"/>
  <c r="D1673" i="2" s="1"/>
  <c r="B1614" i="2"/>
  <c r="D1614" i="2" s="1"/>
  <c r="B1612" i="2"/>
  <c r="D1612" i="2" s="1"/>
  <c r="B1613" i="2"/>
  <c r="D1613" i="2" s="1"/>
  <c r="B1217" i="2"/>
  <c r="D1217" i="2" s="1"/>
  <c r="B1204" i="2"/>
  <c r="D1204" i="2" s="1"/>
  <c r="B1145" i="2"/>
  <c r="D1145" i="2" s="1"/>
  <c r="B652" i="2"/>
  <c r="D652" i="2" s="1"/>
  <c r="B653" i="2"/>
  <c r="D653" i="2" s="1"/>
  <c r="B654" i="2"/>
  <c r="D654" i="2" s="1"/>
  <c r="B604" i="2"/>
  <c r="D604" i="2" s="1"/>
  <c r="B605" i="2"/>
  <c r="D605" i="2" s="1"/>
  <c r="B606" i="2"/>
  <c r="D606" i="2" s="1"/>
  <c r="B2122" i="2"/>
  <c r="D2122" i="2" s="1"/>
  <c r="B2123" i="2"/>
  <c r="D2123" i="2" s="1"/>
  <c r="B2124" i="2"/>
  <c r="D2124" i="2" s="1"/>
  <c r="B1632" i="2"/>
  <c r="D1632" i="2" s="1"/>
  <c r="B1630" i="2"/>
  <c r="D1630" i="2" s="1"/>
  <c r="B1631" i="2"/>
  <c r="D1631" i="2" s="1"/>
  <c r="B1606" i="2"/>
  <c r="D1606" i="2" s="1"/>
  <c r="B1607" i="2"/>
  <c r="D1607" i="2" s="1"/>
  <c r="B1578" i="2"/>
  <c r="D1578" i="2" s="1"/>
  <c r="B1577" i="2"/>
  <c r="D1577" i="2" s="1"/>
  <c r="B1518" i="2"/>
  <c r="D1518" i="2" s="1"/>
  <c r="B1516" i="2"/>
  <c r="D1516" i="2" s="1"/>
  <c r="B1517" i="2"/>
  <c r="D1517" i="2" s="1"/>
  <c r="B1409" i="2"/>
  <c r="D1409" i="2" s="1"/>
  <c r="B1398" i="2"/>
  <c r="D1398" i="2" s="1"/>
  <c r="B1397" i="2"/>
  <c r="D1397" i="2" s="1"/>
  <c r="B1290" i="2"/>
  <c r="D1290" i="2" s="1"/>
  <c r="B1289" i="2"/>
  <c r="D1289" i="2" s="1"/>
  <c r="B750" i="2"/>
  <c r="D750" i="2" s="1"/>
  <c r="B736" i="2"/>
  <c r="D736" i="2" s="1"/>
  <c r="B738" i="2"/>
  <c r="D738" i="2" s="1"/>
  <c r="B2345" i="2"/>
  <c r="D2345" i="2" s="1"/>
  <c r="B2249" i="2"/>
  <c r="D2249" i="2" s="1"/>
  <c r="B2153" i="2"/>
  <c r="D2153" i="2" s="1"/>
  <c r="B2057" i="2"/>
  <c r="D2057" i="2" s="1"/>
  <c r="B1961" i="2"/>
  <c r="D1961" i="2" s="1"/>
  <c r="B1918" i="2"/>
  <c r="D1918" i="2" s="1"/>
  <c r="B1811" i="2"/>
  <c r="D1811" i="2" s="1"/>
  <c r="B1812" i="2"/>
  <c r="D1812" i="2" s="1"/>
  <c r="B1715" i="2"/>
  <c r="D1715" i="2" s="1"/>
  <c r="B1716" i="2"/>
  <c r="D1716" i="2" s="1"/>
  <c r="B1619" i="2"/>
  <c r="D1619" i="2" s="1"/>
  <c r="B1620" i="2"/>
  <c r="D1620" i="2" s="1"/>
  <c r="B1523" i="2"/>
  <c r="D1523" i="2" s="1"/>
  <c r="B1524" i="2"/>
  <c r="D1524" i="2" s="1"/>
  <c r="B1300" i="2"/>
  <c r="D1300" i="2" s="1"/>
  <c r="B1108" i="2"/>
  <c r="D1108" i="2" s="1"/>
  <c r="B1109" i="2"/>
  <c r="D1109" i="2" s="1"/>
  <c r="B1110" i="2"/>
  <c r="D1110" i="2" s="1"/>
  <c r="B1048" i="2"/>
  <c r="D1048" i="2" s="1"/>
  <c r="B1050" i="2"/>
  <c r="D1050" i="2" s="1"/>
  <c r="B941" i="2"/>
  <c r="D941" i="2" s="1"/>
  <c r="B712" i="2"/>
  <c r="D712" i="2" s="1"/>
  <c r="B714" i="2"/>
  <c r="D714" i="2" s="1"/>
  <c r="B713" i="2"/>
  <c r="D713" i="2" s="1"/>
  <c r="B664" i="2"/>
  <c r="D664" i="2" s="1"/>
  <c r="B666" i="2"/>
  <c r="D666" i="2" s="1"/>
  <c r="B1000" i="2"/>
  <c r="D1000" i="2" s="1"/>
  <c r="B1002" i="2"/>
  <c r="D1002" i="2" s="1"/>
  <c r="B844" i="2"/>
  <c r="D844" i="2" s="1"/>
  <c r="B845" i="2"/>
  <c r="D845" i="2" s="1"/>
  <c r="B846" i="2"/>
  <c r="D846" i="2" s="1"/>
  <c r="B616" i="2"/>
  <c r="D616" i="2" s="1"/>
  <c r="B618" i="2"/>
  <c r="D618" i="2" s="1"/>
  <c r="B460" i="2"/>
  <c r="D460" i="2" s="1"/>
  <c r="B461" i="2"/>
  <c r="D461" i="2" s="1"/>
  <c r="B462" i="2"/>
  <c r="D462" i="2" s="1"/>
  <c r="B412" i="2"/>
  <c r="D412" i="2" s="1"/>
  <c r="B413" i="2"/>
  <c r="D413" i="2" s="1"/>
  <c r="B414" i="2"/>
  <c r="D414" i="2" s="1"/>
  <c r="B1854" i="2"/>
  <c r="D1854" i="2" s="1"/>
  <c r="B1852" i="2"/>
  <c r="D1852" i="2" s="1"/>
  <c r="B1853" i="2"/>
  <c r="D1853" i="2" s="1"/>
  <c r="B1758" i="2"/>
  <c r="D1758" i="2" s="1"/>
  <c r="B1756" i="2"/>
  <c r="D1756" i="2" s="1"/>
  <c r="B1757" i="2"/>
  <c r="D1757" i="2" s="1"/>
  <c r="B1662" i="2"/>
  <c r="D1662" i="2" s="1"/>
  <c r="B1660" i="2"/>
  <c r="D1660" i="2" s="1"/>
  <c r="B1661" i="2"/>
  <c r="D1661" i="2" s="1"/>
  <c r="B1566" i="2"/>
  <c r="D1566" i="2" s="1"/>
  <c r="B1564" i="2"/>
  <c r="D1564" i="2" s="1"/>
  <c r="B1565" i="2"/>
  <c r="D1565" i="2" s="1"/>
  <c r="B1470" i="2"/>
  <c r="D1470" i="2" s="1"/>
  <c r="B1468" i="2"/>
  <c r="D1468" i="2" s="1"/>
  <c r="B1469" i="2"/>
  <c r="D1469" i="2" s="1"/>
  <c r="B1386" i="2"/>
  <c r="D1386" i="2" s="1"/>
  <c r="B1385" i="2"/>
  <c r="D1385" i="2" s="1"/>
  <c r="B796" i="2"/>
  <c r="D796" i="2" s="1"/>
  <c r="B797" i="2"/>
  <c r="D797" i="2" s="1"/>
  <c r="B798" i="2"/>
  <c r="D798" i="2" s="1"/>
  <c r="B1168" i="2"/>
  <c r="D1168" i="2" s="1"/>
  <c r="B1169" i="2"/>
  <c r="D1169" i="2" s="1"/>
  <c r="B1084" i="2"/>
  <c r="D1084" i="2" s="1"/>
  <c r="B1086" i="2"/>
  <c r="D1086" i="2" s="1"/>
  <c r="B892" i="2"/>
  <c r="D892" i="2" s="1"/>
  <c r="B893" i="2"/>
  <c r="D893" i="2" s="1"/>
  <c r="B894" i="2"/>
  <c r="D894" i="2" s="1"/>
  <c r="B700" i="2"/>
  <c r="D700" i="2" s="1"/>
  <c r="B701" i="2"/>
  <c r="D701" i="2" s="1"/>
  <c r="B702" i="2"/>
  <c r="D702" i="2" s="1"/>
  <c r="B508" i="2"/>
  <c r="D508" i="2" s="1"/>
  <c r="B509" i="2"/>
  <c r="D509" i="2" s="1"/>
  <c r="B510" i="2"/>
  <c r="D510" i="2" s="1"/>
  <c r="B316" i="2"/>
  <c r="D316" i="2" s="1"/>
  <c r="B317" i="2"/>
  <c r="D317" i="2" s="1"/>
  <c r="B318" i="2"/>
  <c r="D318" i="2" s="1"/>
  <c r="B244" i="2"/>
  <c r="D244" i="2" s="1"/>
  <c r="B246" i="2"/>
  <c r="D246" i="2" s="1"/>
  <c r="B449" i="2"/>
  <c r="D449" i="2" s="1"/>
  <c r="B257" i="2"/>
  <c r="D257" i="2" s="1"/>
  <c r="B1180" i="2"/>
  <c r="D1180" i="2" s="1"/>
  <c r="B1182" i="2"/>
  <c r="D1182" i="2" s="1"/>
  <c r="B977" i="2"/>
  <c r="D977" i="2" s="1"/>
  <c r="B881" i="2"/>
  <c r="D881" i="2" s="1"/>
  <c r="B785" i="2"/>
  <c r="D785" i="2" s="1"/>
  <c r="B689" i="2"/>
  <c r="D689" i="2" s="1"/>
  <c r="B593" i="2"/>
  <c r="D593" i="2" s="1"/>
  <c r="B497" i="2"/>
  <c r="D497" i="2" s="1"/>
  <c r="B401" i="2"/>
  <c r="D401" i="2" s="1"/>
  <c r="B305" i="2"/>
  <c r="D305" i="2" s="1"/>
  <c r="B222" i="2"/>
  <c r="D222" i="2" s="1"/>
  <c r="B209" i="2"/>
  <c r="D209" i="2" s="1"/>
  <c r="B160" i="2"/>
  <c r="D160" i="2" s="1"/>
  <c r="B161" i="2"/>
  <c r="D161" i="2" s="1"/>
  <c r="B154" i="2"/>
  <c r="D154" i="2" s="1"/>
  <c r="B155" i="2"/>
  <c r="D155" i="2" s="1"/>
</calcChain>
</file>

<file path=xl/sharedStrings.xml><?xml version="1.0" encoding="utf-8"?>
<sst xmlns="http://schemas.openxmlformats.org/spreadsheetml/2006/main" count="5271" uniqueCount="790">
  <si>
    <t>Kick</t>
  </si>
  <si>
    <t>Charge</t>
  </si>
  <si>
    <t>Eigene Wahl</t>
  </si>
  <si>
    <t>{</t>
  </si>
  <si>
    <t xml:space="preserve">  "2-4": {</t>
  </si>
  <si>
    <t xml:space="preserve">    "resultPage": 5</t>
  </si>
  <si>
    <t xml:space="preserve">  },</t>
  </si>
  <si>
    <t xml:space="preserve">  "2-6": {</t>
  </si>
  <si>
    <t xml:space="preserve">  "2-8": {</t>
  </si>
  <si>
    <t xml:space="preserve">  "2-10": {</t>
  </si>
  <si>
    <t xml:space="preserve">    "resultPage": 31</t>
  </si>
  <si>
    <t xml:space="preserve">  "2-12": {</t>
  </si>
  <si>
    <t xml:space="preserve">  "2-14": {</t>
  </si>
  <si>
    <t xml:space="preserve">    "resultPage": 49</t>
  </si>
  <si>
    <t xml:space="preserve">  "2-16": {</t>
  </si>
  <si>
    <t xml:space="preserve">    "resultPage": 57</t>
  </si>
  <si>
    <t xml:space="preserve">  "2-18": {</t>
  </si>
  <si>
    <t xml:space="preserve">  "2-20": {</t>
  </si>
  <si>
    <t xml:space="preserve">  "2-22": {</t>
  </si>
  <si>
    <t xml:space="preserve">  "2-24": {</t>
  </si>
  <si>
    <t xml:space="preserve">    "resultPage": 53</t>
  </si>
  <si>
    <t xml:space="preserve">  "2-26": {</t>
  </si>
  <si>
    <t xml:space="preserve">  "2-28": {</t>
  </si>
  <si>
    <t xml:space="preserve">    "resultPage": 7</t>
  </si>
  <si>
    <t xml:space="preserve">  "2-30": {</t>
  </si>
  <si>
    <t xml:space="preserve">  "2-32": {</t>
  </si>
  <si>
    <t xml:space="preserve">  "2-34": {</t>
  </si>
  <si>
    <t xml:space="preserve">  "2-36": {</t>
  </si>
  <si>
    <t xml:space="preserve">  "2-38": {</t>
  </si>
  <si>
    <t xml:space="preserve">  "2-40": {</t>
  </si>
  <si>
    <t xml:space="preserve">  "2-42": {</t>
  </si>
  <si>
    <t xml:space="preserve">  "2-44": {</t>
  </si>
  <si>
    <t xml:space="preserve">  "2-46": {</t>
  </si>
  <si>
    <t xml:space="preserve">  "2-48": {</t>
  </si>
  <si>
    <t xml:space="preserve">  "4-4": {</t>
  </si>
  <si>
    <t xml:space="preserve">    "resultPage": 59</t>
  </si>
  <si>
    <t xml:space="preserve">  "4-6": {</t>
  </si>
  <si>
    <t xml:space="preserve">    "resultPage": 63</t>
  </si>
  <si>
    <t xml:space="preserve">  "4-8": {</t>
  </si>
  <si>
    <t xml:space="preserve">  "4-10": {</t>
  </si>
  <si>
    <t xml:space="preserve">  "4-12": {</t>
  </si>
  <si>
    <t xml:space="preserve">  "4-14": {</t>
  </si>
  <si>
    <t xml:space="preserve">  "4-16": {</t>
  </si>
  <si>
    <t xml:space="preserve">  "4-18": {</t>
  </si>
  <si>
    <t xml:space="preserve">  "4-20": {</t>
  </si>
  <si>
    <t xml:space="preserve">  "4-22": {</t>
  </si>
  <si>
    <t xml:space="preserve">  "4-24": {</t>
  </si>
  <si>
    <t xml:space="preserve">    "resultPage": 41</t>
  </si>
  <si>
    <t xml:space="preserve">  "4-26": {</t>
  </si>
  <si>
    <t xml:space="preserve">  "4-28": {</t>
  </si>
  <si>
    <t xml:space="preserve">  "4-30": {</t>
  </si>
  <si>
    <t xml:space="preserve">  "4-32": {</t>
  </si>
  <si>
    <t xml:space="preserve">  "4-34": {</t>
  </si>
  <si>
    <t xml:space="preserve">  "4-36": {</t>
  </si>
  <si>
    <t xml:space="preserve">  "4-38": {</t>
  </si>
  <si>
    <t xml:space="preserve">  "4-40": {</t>
  </si>
  <si>
    <t xml:space="preserve">  "4-42": {</t>
  </si>
  <si>
    <t xml:space="preserve">  "4-44": {</t>
  </si>
  <si>
    <t xml:space="preserve">    "resultPage": 19</t>
  </si>
  <si>
    <t xml:space="preserve">  "4-46": {</t>
  </si>
  <si>
    <t xml:space="preserve">  "4-48": {</t>
  </si>
  <si>
    <t xml:space="preserve">  "6-4": {</t>
  </si>
  <si>
    <t xml:space="preserve">  "6-6": {</t>
  </si>
  <si>
    <t xml:space="preserve">    "resultPage": 17</t>
  </si>
  <si>
    <t xml:space="preserve">  "6-8": {</t>
  </si>
  <si>
    <t xml:space="preserve">    "resultPage": 9</t>
  </si>
  <si>
    <t xml:space="preserve">  "6-10": {</t>
  </si>
  <si>
    <t xml:space="preserve">  "6-12": {</t>
  </si>
  <si>
    <t xml:space="preserve">  "6-14": {</t>
  </si>
  <si>
    <t xml:space="preserve">  "6-16": {</t>
  </si>
  <si>
    <t xml:space="preserve">  "6-18": {</t>
  </si>
  <si>
    <t xml:space="preserve">  "6-20": {</t>
  </si>
  <si>
    <t xml:space="preserve">  "6-22": {</t>
  </si>
  <si>
    <t xml:space="preserve">  "6-24": {</t>
  </si>
  <si>
    <t xml:space="preserve">  "6-26": {</t>
  </si>
  <si>
    <t xml:space="preserve">  "6-28": {</t>
  </si>
  <si>
    <t xml:space="preserve">    "resultPage": 45</t>
  </si>
  <si>
    <t xml:space="preserve">  "6-30": {</t>
  </si>
  <si>
    <t xml:space="preserve">  "6-32": {</t>
  </si>
  <si>
    <t xml:space="preserve">  "6-34": {</t>
  </si>
  <si>
    <t xml:space="preserve">    "resultPage": 11</t>
  </si>
  <si>
    <t xml:space="preserve">  "6-36": {</t>
  </si>
  <si>
    <t xml:space="preserve">    "resultPage": 55</t>
  </si>
  <si>
    <t xml:space="preserve">  "6-38": {</t>
  </si>
  <si>
    <t xml:space="preserve">  "6-40": {</t>
  </si>
  <si>
    <t xml:space="preserve">  "6-42": {</t>
  </si>
  <si>
    <t xml:space="preserve">  "6-44": {</t>
  </si>
  <si>
    <t xml:space="preserve">  "6-46": {</t>
  </si>
  <si>
    <t xml:space="preserve">  "6-48": {</t>
  </si>
  <si>
    <t xml:space="preserve">  "8-4": {</t>
  </si>
  <si>
    <t xml:space="preserve">    "resultPage": 33</t>
  </si>
  <si>
    <t xml:space="preserve">  "8-6": {</t>
  </si>
  <si>
    <t xml:space="preserve">  "8-8": {</t>
  </si>
  <si>
    <t xml:space="preserve">  "8-10": {</t>
  </si>
  <si>
    <t xml:space="preserve">  "8-12": {</t>
  </si>
  <si>
    <t xml:space="preserve">  "8-14": {</t>
  </si>
  <si>
    <t xml:space="preserve">    "resultPage": 23</t>
  </si>
  <si>
    <t xml:space="preserve">  "8-16": {</t>
  </si>
  <si>
    <t xml:space="preserve">    "resultPage": 61</t>
  </si>
  <si>
    <t xml:space="preserve">  "8-18": {</t>
  </si>
  <si>
    <t xml:space="preserve">  "8-20": {</t>
  </si>
  <si>
    <t xml:space="preserve">  "8-22": {</t>
  </si>
  <si>
    <t xml:space="preserve">  "8-24": {</t>
  </si>
  <si>
    <t xml:space="preserve">  "8-26": {</t>
  </si>
  <si>
    <t xml:space="preserve">  "8-28": {</t>
  </si>
  <si>
    <t xml:space="preserve">  "8-30": {</t>
  </si>
  <si>
    <t xml:space="preserve">  "8-32": {</t>
  </si>
  <si>
    <t xml:space="preserve">  "8-34": {</t>
  </si>
  <si>
    <t xml:space="preserve">  "8-36": {</t>
  </si>
  <si>
    <t xml:space="preserve">  "8-38": {</t>
  </si>
  <si>
    <t xml:space="preserve">  "8-40": {</t>
  </si>
  <si>
    <t xml:space="preserve">  "8-42": {</t>
  </si>
  <si>
    <t xml:space="preserve">  "8-44": {</t>
  </si>
  <si>
    <t xml:space="preserve">  "8-46": {</t>
  </si>
  <si>
    <t xml:space="preserve">  "8-48": {</t>
  </si>
  <si>
    <t xml:space="preserve">  "10-4": {</t>
  </si>
  <si>
    <t xml:space="preserve">    "resultPage": 3</t>
  </si>
  <si>
    <t xml:space="preserve">  "10-6": {</t>
  </si>
  <si>
    <t xml:space="preserve">  "10-8": {</t>
  </si>
  <si>
    <t xml:space="preserve">  "10-10": {</t>
  </si>
  <si>
    <t xml:space="preserve">  "10-12": {</t>
  </si>
  <si>
    <t xml:space="preserve">  "10-14": {</t>
  </si>
  <si>
    <t xml:space="preserve">  "10-16": {</t>
  </si>
  <si>
    <t xml:space="preserve">  "10-18": {</t>
  </si>
  <si>
    <t xml:space="preserve">  "10-20": {</t>
  </si>
  <si>
    <t xml:space="preserve">    "resultPage": 21</t>
  </si>
  <si>
    <t xml:space="preserve">  "10-22": {</t>
  </si>
  <si>
    <t xml:space="preserve">  "10-24": {</t>
  </si>
  <si>
    <t xml:space="preserve">  "10-26": {</t>
  </si>
  <si>
    <t xml:space="preserve">  "10-28": {</t>
  </si>
  <si>
    <t xml:space="preserve">  "10-30": {</t>
  </si>
  <si>
    <t xml:space="preserve">  "10-32": {</t>
  </si>
  <si>
    <t xml:space="preserve">  "10-34": {</t>
  </si>
  <si>
    <t xml:space="preserve">    "resultPage": 51</t>
  </si>
  <si>
    <t xml:space="preserve">  "10-36": {</t>
  </si>
  <si>
    <t xml:space="preserve">  "10-38": {</t>
  </si>
  <si>
    <t xml:space="preserve">  "10-40": {</t>
  </si>
  <si>
    <t xml:space="preserve">  "10-42": {</t>
  </si>
  <si>
    <t xml:space="preserve">    "resultPage": 13</t>
  </si>
  <si>
    <t xml:space="preserve">  "10-44": {</t>
  </si>
  <si>
    <t xml:space="preserve">  "10-46": {</t>
  </si>
  <si>
    <t xml:space="preserve">  "10-48": {</t>
  </si>
  <si>
    <t xml:space="preserve">  "12-4": {</t>
  </si>
  <si>
    <t xml:space="preserve">  "12-6": {</t>
  </si>
  <si>
    <t xml:space="preserve">  "12-8": {</t>
  </si>
  <si>
    <t xml:space="preserve">  "12-10": {</t>
  </si>
  <si>
    <t xml:space="preserve">  "12-12": {</t>
  </si>
  <si>
    <t xml:space="preserve">  "12-14": {</t>
  </si>
  <si>
    <t xml:space="preserve">  "12-16": {</t>
  </si>
  <si>
    <t xml:space="preserve">  "12-18": {</t>
  </si>
  <si>
    <t xml:space="preserve">  "12-20": {</t>
  </si>
  <si>
    <t xml:space="preserve">  "12-22": {</t>
  </si>
  <si>
    <t xml:space="preserve">  "12-24": {</t>
  </si>
  <si>
    <t xml:space="preserve">  "12-26": {</t>
  </si>
  <si>
    <t xml:space="preserve">  "12-28": {</t>
  </si>
  <si>
    <t xml:space="preserve">  "12-30": {</t>
  </si>
  <si>
    <t xml:space="preserve">  "12-32": {</t>
  </si>
  <si>
    <t xml:space="preserve">  "12-34": {</t>
  </si>
  <si>
    <t xml:space="preserve">  "12-36": {</t>
  </si>
  <si>
    <t xml:space="preserve">  "12-38": {</t>
  </si>
  <si>
    <t xml:space="preserve">  "12-40": {</t>
  </si>
  <si>
    <t xml:space="preserve">  "12-42": {</t>
  </si>
  <si>
    <t xml:space="preserve">  "12-44": {</t>
  </si>
  <si>
    <t xml:space="preserve">  "12-46": {</t>
  </si>
  <si>
    <t xml:space="preserve">  "12-48": {</t>
  </si>
  <si>
    <t xml:space="preserve">  "14-4": {</t>
  </si>
  <si>
    <t xml:space="preserve">  "14-6": {</t>
  </si>
  <si>
    <t xml:space="preserve">  "14-8": {</t>
  </si>
  <si>
    <t xml:space="preserve">  "14-10": {</t>
  </si>
  <si>
    <t xml:space="preserve">  "14-12": {</t>
  </si>
  <si>
    <t xml:space="preserve">  "14-14": {</t>
  </si>
  <si>
    <t xml:space="preserve">  "14-16": {</t>
  </si>
  <si>
    <t xml:space="preserve">  "14-18": {</t>
  </si>
  <si>
    <t xml:space="preserve">  "14-20": {</t>
  </si>
  <si>
    <t xml:space="preserve">  "14-22": {</t>
  </si>
  <si>
    <t xml:space="preserve">  "14-24": {</t>
  </si>
  <si>
    <t xml:space="preserve">  "14-26": {</t>
  </si>
  <si>
    <t xml:space="preserve">  "14-28": {</t>
  </si>
  <si>
    <t xml:space="preserve">  "14-30": {</t>
  </si>
  <si>
    <t xml:space="preserve">  "14-32": {</t>
  </si>
  <si>
    <t xml:space="preserve">  "14-34": {</t>
  </si>
  <si>
    <t xml:space="preserve">  "14-36": {</t>
  </si>
  <si>
    <t xml:space="preserve">  "14-38": {</t>
  </si>
  <si>
    <t xml:space="preserve">  "14-40": {</t>
  </si>
  <si>
    <t xml:space="preserve">  "14-42": {</t>
  </si>
  <si>
    <t xml:space="preserve">  "14-44": {</t>
  </si>
  <si>
    <t xml:space="preserve">  "14-46": {</t>
  </si>
  <si>
    <t xml:space="preserve">  "14-48": {</t>
  </si>
  <si>
    <t xml:space="preserve">  "16-4": {</t>
  </si>
  <si>
    <t xml:space="preserve">  "16-6": {</t>
  </si>
  <si>
    <t xml:space="preserve">  "16-8": {</t>
  </si>
  <si>
    <t xml:space="preserve">  "16-10": {</t>
  </si>
  <si>
    <t xml:space="preserve">  "16-12": {</t>
  </si>
  <si>
    <t xml:space="preserve">  "16-14": {</t>
  </si>
  <si>
    <t xml:space="preserve">  "16-16": {</t>
  </si>
  <si>
    <t xml:space="preserve">  "16-18": {</t>
  </si>
  <si>
    <t xml:space="preserve">  "16-20": {</t>
  </si>
  <si>
    <t xml:space="preserve">  "16-22": {</t>
  </si>
  <si>
    <t xml:space="preserve">  "16-24": {</t>
  </si>
  <si>
    <t xml:space="preserve">    "resultPage": 1</t>
  </si>
  <si>
    <t xml:space="preserve">  "16-26": {</t>
  </si>
  <si>
    <t xml:space="preserve">  "16-28": {</t>
  </si>
  <si>
    <t xml:space="preserve">  "16-30": {</t>
  </si>
  <si>
    <t xml:space="preserve">  "16-32": {</t>
  </si>
  <si>
    <t xml:space="preserve">  "16-34": {</t>
  </si>
  <si>
    <t xml:space="preserve">  "16-36": {</t>
  </si>
  <si>
    <t xml:space="preserve">  "16-38": {</t>
  </si>
  <si>
    <t xml:space="preserve">  "16-40": {</t>
  </si>
  <si>
    <t xml:space="preserve">  "16-42": {</t>
  </si>
  <si>
    <t xml:space="preserve">  "16-44": {</t>
  </si>
  <si>
    <t xml:space="preserve">  "16-46": {</t>
  </si>
  <si>
    <t xml:space="preserve">  "16-48": {</t>
  </si>
  <si>
    <t xml:space="preserve">  "18-4": {</t>
  </si>
  <si>
    <t xml:space="preserve">    "resultPage": 37</t>
  </si>
  <si>
    <t xml:space="preserve">  "18-6": {</t>
  </si>
  <si>
    <t xml:space="preserve">  "18-8": {</t>
  </si>
  <si>
    <t xml:space="preserve">  "18-10": {</t>
  </si>
  <si>
    <t xml:space="preserve">  "18-12": {</t>
  </si>
  <si>
    <t xml:space="preserve">  "18-14": {</t>
  </si>
  <si>
    <t xml:space="preserve">  "18-16": {</t>
  </si>
  <si>
    <t xml:space="preserve">  "18-18": {</t>
  </si>
  <si>
    <t xml:space="preserve">  "18-20": {</t>
  </si>
  <si>
    <t xml:space="preserve">  "18-22": {</t>
  </si>
  <si>
    <t xml:space="preserve">  "18-24": {</t>
  </si>
  <si>
    <t xml:space="preserve">  "18-26": {</t>
  </si>
  <si>
    <t xml:space="preserve">  "18-28": {</t>
  </si>
  <si>
    <t xml:space="preserve">  "18-30": {</t>
  </si>
  <si>
    <t xml:space="preserve">  "18-32": {</t>
  </si>
  <si>
    <t xml:space="preserve">  "18-34": {</t>
  </si>
  <si>
    <t xml:space="preserve">  "18-36": {</t>
  </si>
  <si>
    <t xml:space="preserve">  "18-38": {</t>
  </si>
  <si>
    <t xml:space="preserve">  "18-40": {</t>
  </si>
  <si>
    <t xml:space="preserve">  "18-42": {</t>
  </si>
  <si>
    <t xml:space="preserve">  "18-44": {</t>
  </si>
  <si>
    <t xml:space="preserve">  "18-46": {</t>
  </si>
  <si>
    <t xml:space="preserve">  "18-48": {</t>
  </si>
  <si>
    <t xml:space="preserve">  "20-4": {</t>
  </si>
  <si>
    <t xml:space="preserve">  "20-6": {</t>
  </si>
  <si>
    <t xml:space="preserve">    "resultPage": 29</t>
  </si>
  <si>
    <t xml:space="preserve">  "20-8": {</t>
  </si>
  <si>
    <t xml:space="preserve">  "20-10": {</t>
  </si>
  <si>
    <t xml:space="preserve">  "20-12": {</t>
  </si>
  <si>
    <t xml:space="preserve">  "20-14": {</t>
  </si>
  <si>
    <t xml:space="preserve">  "20-16": {</t>
  </si>
  <si>
    <t xml:space="preserve">  "20-18": {</t>
  </si>
  <si>
    <t xml:space="preserve">  "20-20": {</t>
  </si>
  <si>
    <t xml:space="preserve">  "20-22": {</t>
  </si>
  <si>
    <t xml:space="preserve">  "20-24": {</t>
  </si>
  <si>
    <t xml:space="preserve">  "20-26": {</t>
  </si>
  <si>
    <t xml:space="preserve">  "20-28": {</t>
  </si>
  <si>
    <t xml:space="preserve">  "20-30": {</t>
  </si>
  <si>
    <t xml:space="preserve">  "20-32": {</t>
  </si>
  <si>
    <t xml:space="preserve">  "20-34": {</t>
  </si>
  <si>
    <t xml:space="preserve">  "20-36": {</t>
  </si>
  <si>
    <t xml:space="preserve">  "20-38": {</t>
  </si>
  <si>
    <t xml:space="preserve">  "20-40": {</t>
  </si>
  <si>
    <t xml:space="preserve">  "20-42": {</t>
  </si>
  <si>
    <t xml:space="preserve">  "20-44": {</t>
  </si>
  <si>
    <t xml:space="preserve">  "20-46": {</t>
  </si>
  <si>
    <t xml:space="preserve">  "20-48": {</t>
  </si>
  <si>
    <t xml:space="preserve">  "22-4": {</t>
  </si>
  <si>
    <t xml:space="preserve">  "22-6": {</t>
  </si>
  <si>
    <t xml:space="preserve">  "22-8": {</t>
  </si>
  <si>
    <t xml:space="preserve">  "22-10": {</t>
  </si>
  <si>
    <t xml:space="preserve">  "22-12": {</t>
  </si>
  <si>
    <t xml:space="preserve">  "22-14": {</t>
  </si>
  <si>
    <t xml:space="preserve">  "22-16": {</t>
  </si>
  <si>
    <t xml:space="preserve">  "22-18": {</t>
  </si>
  <si>
    <t xml:space="preserve">  "22-20": {</t>
  </si>
  <si>
    <t xml:space="preserve">  "22-22": {</t>
  </si>
  <si>
    <t xml:space="preserve">  "22-24": {</t>
  </si>
  <si>
    <t xml:space="preserve">  "22-26": {</t>
  </si>
  <si>
    <t xml:space="preserve">  "22-28": {</t>
  </si>
  <si>
    <t xml:space="preserve">  "22-30": {</t>
  </si>
  <si>
    <t xml:space="preserve">    "resultPage": 27</t>
  </si>
  <si>
    <t xml:space="preserve">  "22-32": {</t>
  </si>
  <si>
    <t xml:space="preserve">  "22-34": {</t>
  </si>
  <si>
    <t xml:space="preserve">  "22-36": {</t>
  </si>
  <si>
    <t xml:space="preserve">  "22-38": {</t>
  </si>
  <si>
    <t xml:space="preserve">  "22-40": {</t>
  </si>
  <si>
    <t xml:space="preserve">  "22-42": {</t>
  </si>
  <si>
    <t xml:space="preserve">  "22-44": {</t>
  </si>
  <si>
    <t xml:space="preserve">  "22-46": {</t>
  </si>
  <si>
    <t xml:space="preserve">  "22-48": {</t>
  </si>
  <si>
    <t xml:space="preserve">  "24-4": {</t>
  </si>
  <si>
    <t xml:space="preserve">    "resultPage": 15</t>
  </si>
  <si>
    <t xml:space="preserve">  "24-6": {</t>
  </si>
  <si>
    <t xml:space="preserve">  "24-8": {</t>
  </si>
  <si>
    <t xml:space="preserve">  "24-10": {</t>
  </si>
  <si>
    <t xml:space="preserve">  "24-12": {</t>
  </si>
  <si>
    <t xml:space="preserve">  "24-14": {</t>
  </si>
  <si>
    <t xml:space="preserve">  "24-16": {</t>
  </si>
  <si>
    <t xml:space="preserve">  "24-18": {</t>
  </si>
  <si>
    <t xml:space="preserve">  "24-20": {</t>
  </si>
  <si>
    <t xml:space="preserve">  "24-22": {</t>
  </si>
  <si>
    <t xml:space="preserve">  "24-24": {</t>
  </si>
  <si>
    <t xml:space="preserve">  "24-26": {</t>
  </si>
  <si>
    <t xml:space="preserve">  "24-28": {</t>
  </si>
  <si>
    <t xml:space="preserve">  "24-30": {</t>
  </si>
  <si>
    <t xml:space="preserve">  "24-32": {</t>
  </si>
  <si>
    <t xml:space="preserve">  "24-34": {</t>
  </si>
  <si>
    <t xml:space="preserve">  "24-36": {</t>
  </si>
  <si>
    <t xml:space="preserve">  "24-38": {</t>
  </si>
  <si>
    <t xml:space="preserve">  "24-40": {</t>
  </si>
  <si>
    <t xml:space="preserve">  "24-42": {</t>
  </si>
  <si>
    <t xml:space="preserve">  "24-44": {</t>
  </si>
  <si>
    <t xml:space="preserve">  "24-46": {</t>
  </si>
  <si>
    <t xml:space="preserve">  "24-48": {</t>
  </si>
  <si>
    <t xml:space="preserve">  "26-4": {</t>
  </si>
  <si>
    <t xml:space="preserve">  "26-6": {</t>
  </si>
  <si>
    <t xml:space="preserve">  "26-8": {</t>
  </si>
  <si>
    <t xml:space="preserve">  "26-10": {</t>
  </si>
  <si>
    <t xml:space="preserve">  "26-12": {</t>
  </si>
  <si>
    <t xml:space="preserve">  "26-14": {</t>
  </si>
  <si>
    <t xml:space="preserve">  "26-16": {</t>
  </si>
  <si>
    <t xml:space="preserve">  "26-18": {</t>
  </si>
  <si>
    <t xml:space="preserve">  "26-20": {</t>
  </si>
  <si>
    <t xml:space="preserve">  "26-22": {</t>
  </si>
  <si>
    <t xml:space="preserve">  "26-24": {</t>
  </si>
  <si>
    <t xml:space="preserve">  "26-26": {</t>
  </si>
  <si>
    <t xml:space="preserve">  "26-28": {</t>
  </si>
  <si>
    <t xml:space="preserve">  "26-30": {</t>
  </si>
  <si>
    <t xml:space="preserve">  "26-32": {</t>
  </si>
  <si>
    <t xml:space="preserve">  "26-34": {</t>
  </si>
  <si>
    <t xml:space="preserve">  "26-36": {</t>
  </si>
  <si>
    <t xml:space="preserve">  "26-38": {</t>
  </si>
  <si>
    <t xml:space="preserve">  "26-40": {</t>
  </si>
  <si>
    <t xml:space="preserve">  "26-42": {</t>
  </si>
  <si>
    <t xml:space="preserve">  "26-44": {</t>
  </si>
  <si>
    <t xml:space="preserve">  "26-46": {</t>
  </si>
  <si>
    <t xml:space="preserve">  "26-48": {</t>
  </si>
  <si>
    <t xml:space="preserve">  "28-4": {</t>
  </si>
  <si>
    <t xml:space="preserve">  "28-6": {</t>
  </si>
  <si>
    <t xml:space="preserve">  "28-8": {</t>
  </si>
  <si>
    <t xml:space="preserve">  "28-10": {</t>
  </si>
  <si>
    <t xml:space="preserve">  "28-12": {</t>
  </si>
  <si>
    <t xml:space="preserve">  "28-14": {</t>
  </si>
  <si>
    <t xml:space="preserve">  "28-16": {</t>
  </si>
  <si>
    <t xml:space="preserve">  "28-18": {</t>
  </si>
  <si>
    <t xml:space="preserve">  "28-20": {</t>
  </si>
  <si>
    <t xml:space="preserve">  "28-22": {</t>
  </si>
  <si>
    <t xml:space="preserve">  "28-24": {</t>
  </si>
  <si>
    <t xml:space="preserve">  "28-26": {</t>
  </si>
  <si>
    <t xml:space="preserve">  "28-28": {</t>
  </si>
  <si>
    <t xml:space="preserve">  "28-30": {</t>
  </si>
  <si>
    <t xml:space="preserve">  "28-32": {</t>
  </si>
  <si>
    <t xml:space="preserve">  "28-34": {</t>
  </si>
  <si>
    <t xml:space="preserve">  "28-36": {</t>
  </si>
  <si>
    <t xml:space="preserve">  "28-38": {</t>
  </si>
  <si>
    <t xml:space="preserve">  "28-40": {</t>
  </si>
  <si>
    <t xml:space="preserve">  "28-42": {</t>
  </si>
  <si>
    <t xml:space="preserve">  "28-44": {</t>
  </si>
  <si>
    <t xml:space="preserve">  "28-46": {</t>
  </si>
  <si>
    <t xml:space="preserve">  "28-48": {</t>
  </si>
  <si>
    <t xml:space="preserve">  "30-4": {</t>
  </si>
  <si>
    <t xml:space="preserve">  "30-6": {</t>
  </si>
  <si>
    <t xml:space="preserve">  "30-8": {</t>
  </si>
  <si>
    <t xml:space="preserve">  "30-10": {</t>
  </si>
  <si>
    <t xml:space="preserve">  "30-12": {</t>
  </si>
  <si>
    <t xml:space="preserve">  "30-14": {</t>
  </si>
  <si>
    <t xml:space="preserve">  "30-16": {</t>
  </si>
  <si>
    <t xml:space="preserve">  "30-18": {</t>
  </si>
  <si>
    <t xml:space="preserve">  "30-20": {</t>
  </si>
  <si>
    <t xml:space="preserve">  "30-22": {</t>
  </si>
  <si>
    <t xml:space="preserve">  "30-24": {</t>
  </si>
  <si>
    <t xml:space="preserve">  "30-26": {</t>
  </si>
  <si>
    <t xml:space="preserve">  "30-28": {</t>
  </si>
  <si>
    <t xml:space="preserve">  "30-30": {</t>
  </si>
  <si>
    <t xml:space="preserve">  "30-32": {</t>
  </si>
  <si>
    <t xml:space="preserve">  "30-34": {</t>
  </si>
  <si>
    <t xml:space="preserve">  "30-36": {</t>
  </si>
  <si>
    <t xml:space="preserve">  "30-38": {</t>
  </si>
  <si>
    <t xml:space="preserve">  "30-40": {</t>
  </si>
  <si>
    <t xml:space="preserve">  "30-42": {</t>
  </si>
  <si>
    <t xml:space="preserve">  "30-44": {</t>
  </si>
  <si>
    <t xml:space="preserve">  "30-46": {</t>
  </si>
  <si>
    <t xml:space="preserve">  "30-48": {</t>
  </si>
  <si>
    <t xml:space="preserve">  "32-4": {</t>
  </si>
  <si>
    <t xml:space="preserve">  "32-6": {</t>
  </si>
  <si>
    <t xml:space="preserve">  "32-8": {</t>
  </si>
  <si>
    <t xml:space="preserve">  "32-10": {</t>
  </si>
  <si>
    <t xml:space="preserve">  "32-12": {</t>
  </si>
  <si>
    <t xml:space="preserve">  "32-14": {</t>
  </si>
  <si>
    <t xml:space="preserve">  "32-16": {</t>
  </si>
  <si>
    <t xml:space="preserve">  "32-18": {</t>
  </si>
  <si>
    <t xml:space="preserve">  "32-20": {</t>
  </si>
  <si>
    <t xml:space="preserve">  "32-22": {</t>
  </si>
  <si>
    <t xml:space="preserve">  "32-24": {</t>
  </si>
  <si>
    <t xml:space="preserve">  "32-26": {</t>
  </si>
  <si>
    <t xml:space="preserve">  "32-28": {</t>
  </si>
  <si>
    <t xml:space="preserve">  "32-30": {</t>
  </si>
  <si>
    <t xml:space="preserve">  "32-32": {</t>
  </si>
  <si>
    <t xml:space="preserve">  "32-34": {</t>
  </si>
  <si>
    <t xml:space="preserve">  "32-36": {</t>
  </si>
  <si>
    <t xml:space="preserve">  "32-38": {</t>
  </si>
  <si>
    <t xml:space="preserve">  "32-40": {</t>
  </si>
  <si>
    <t xml:space="preserve">  "32-42": {</t>
  </si>
  <si>
    <t xml:space="preserve">  "32-44": {</t>
  </si>
  <si>
    <t xml:space="preserve">  "32-46": {</t>
  </si>
  <si>
    <t xml:space="preserve">  "32-48": {</t>
  </si>
  <si>
    <t xml:space="preserve">  "34-4": {</t>
  </si>
  <si>
    <t xml:space="preserve">  "34-6": {</t>
  </si>
  <si>
    <t xml:space="preserve">    "resultPage": 25</t>
  </si>
  <si>
    <t xml:space="preserve">  "34-8": {</t>
  </si>
  <si>
    <t xml:space="preserve">  "34-10": {</t>
  </si>
  <si>
    <t xml:space="preserve">  "34-12": {</t>
  </si>
  <si>
    <t xml:space="preserve">  "34-14": {</t>
  </si>
  <si>
    <t xml:space="preserve">  "34-16": {</t>
  </si>
  <si>
    <t xml:space="preserve">  "34-18": {</t>
  </si>
  <si>
    <t xml:space="preserve">  "34-20": {</t>
  </si>
  <si>
    <t xml:space="preserve">  "34-22": {</t>
  </si>
  <si>
    <t xml:space="preserve">  "34-24": {</t>
  </si>
  <si>
    <t xml:space="preserve">  "34-26": {</t>
  </si>
  <si>
    <t xml:space="preserve">  "34-28": {</t>
  </si>
  <si>
    <t xml:space="preserve">  "34-30": {</t>
  </si>
  <si>
    <t xml:space="preserve">  "34-32": {</t>
  </si>
  <si>
    <t xml:space="preserve">  "34-34": {</t>
  </si>
  <si>
    <t xml:space="preserve">  "34-36": {</t>
  </si>
  <si>
    <t xml:space="preserve">  "34-38": {</t>
  </si>
  <si>
    <t xml:space="preserve">  "34-40": {</t>
  </si>
  <si>
    <t xml:space="preserve">  "34-42": {</t>
  </si>
  <si>
    <t xml:space="preserve">  "34-44": {</t>
  </si>
  <si>
    <t xml:space="preserve">  "34-46": {</t>
  </si>
  <si>
    <t xml:space="preserve">  "34-48": {</t>
  </si>
  <si>
    <t xml:space="preserve">  "36-4": {</t>
  </si>
  <si>
    <t xml:space="preserve">  "36-6": {</t>
  </si>
  <si>
    <t xml:space="preserve">  "36-8": {</t>
  </si>
  <si>
    <t xml:space="preserve">  "36-10": {</t>
  </si>
  <si>
    <t xml:space="preserve">  "36-12": {</t>
  </si>
  <si>
    <t xml:space="preserve">  "36-14": {</t>
  </si>
  <si>
    <t xml:space="preserve">  "36-16": {</t>
  </si>
  <si>
    <t xml:space="preserve">  "36-18": {</t>
  </si>
  <si>
    <t xml:space="preserve">  "36-20": {</t>
  </si>
  <si>
    <t xml:space="preserve">  "36-22": {</t>
  </si>
  <si>
    <t xml:space="preserve">  "36-24": {</t>
  </si>
  <si>
    <t xml:space="preserve">  "36-26": {</t>
  </si>
  <si>
    <t xml:space="preserve">  "36-28": {</t>
  </si>
  <si>
    <t xml:space="preserve">  "36-30": {</t>
  </si>
  <si>
    <t xml:space="preserve">  "36-32": {</t>
  </si>
  <si>
    <t xml:space="preserve">  "36-34": {</t>
  </si>
  <si>
    <t xml:space="preserve">  "36-36": {</t>
  </si>
  <si>
    <t xml:space="preserve">  "36-38": {</t>
  </si>
  <si>
    <t xml:space="preserve">  "36-40": {</t>
  </si>
  <si>
    <t xml:space="preserve">  "36-42": {</t>
  </si>
  <si>
    <t xml:space="preserve">  "36-44": {</t>
  </si>
  <si>
    <t xml:space="preserve">  "36-46": {</t>
  </si>
  <si>
    <t xml:space="preserve">  "36-48": {</t>
  </si>
  <si>
    <t xml:space="preserve">  "38-4": {</t>
  </si>
  <si>
    <t xml:space="preserve">  "38-6": {</t>
  </si>
  <si>
    <t xml:space="preserve">  "38-8": {</t>
  </si>
  <si>
    <t xml:space="preserve">  "38-10": {</t>
  </si>
  <si>
    <t xml:space="preserve">  "38-12": {</t>
  </si>
  <si>
    <t xml:space="preserve">  "38-14": {</t>
  </si>
  <si>
    <t xml:space="preserve">  "38-16": {</t>
  </si>
  <si>
    <t xml:space="preserve">  "38-18": {</t>
  </si>
  <si>
    <t xml:space="preserve">  "38-20": {</t>
  </si>
  <si>
    <t xml:space="preserve">  "38-22": {</t>
  </si>
  <si>
    <t xml:space="preserve">  "38-24": {</t>
  </si>
  <si>
    <t xml:space="preserve">  "38-26": {</t>
  </si>
  <si>
    <t xml:space="preserve">  "38-28": {</t>
  </si>
  <si>
    <t xml:space="preserve">  "38-30": {</t>
  </si>
  <si>
    <t xml:space="preserve">  "38-32": {</t>
  </si>
  <si>
    <t xml:space="preserve">  "38-34": {</t>
  </si>
  <si>
    <t xml:space="preserve">  "38-36": {</t>
  </si>
  <si>
    <t xml:space="preserve">  "38-38": {</t>
  </si>
  <si>
    <t xml:space="preserve">  "38-40": {</t>
  </si>
  <si>
    <t xml:space="preserve">  "38-42": {</t>
  </si>
  <si>
    <t xml:space="preserve">  "38-44": {</t>
  </si>
  <si>
    <t xml:space="preserve">  "38-46": {</t>
  </si>
  <si>
    <t xml:space="preserve">  "38-48": {</t>
  </si>
  <si>
    <t xml:space="preserve">  "40-4": {</t>
  </si>
  <si>
    <t xml:space="preserve">  "40-6": {</t>
  </si>
  <si>
    <t xml:space="preserve">  "40-8": {</t>
  </si>
  <si>
    <t xml:space="preserve">  "40-10": {</t>
  </si>
  <si>
    <t xml:space="preserve">  "40-12": {</t>
  </si>
  <si>
    <t xml:space="preserve">  "40-14": {</t>
  </si>
  <si>
    <t xml:space="preserve">  "40-16": {</t>
  </si>
  <si>
    <t xml:space="preserve">  "40-18": {</t>
  </si>
  <si>
    <t xml:space="preserve">  "40-20": {</t>
  </si>
  <si>
    <t xml:space="preserve">  "40-22": {</t>
  </si>
  <si>
    <t xml:space="preserve">  "40-24": {</t>
  </si>
  <si>
    <t xml:space="preserve">  "40-26": {</t>
  </si>
  <si>
    <t xml:space="preserve">  "40-28": {</t>
  </si>
  <si>
    <t xml:space="preserve">  "40-30": {</t>
  </si>
  <si>
    <t xml:space="preserve">  "40-32": {</t>
  </si>
  <si>
    <t xml:space="preserve">  "40-34": {</t>
  </si>
  <si>
    <t xml:space="preserve">  "40-36": {</t>
  </si>
  <si>
    <t xml:space="preserve">  "40-38": {</t>
  </si>
  <si>
    <t xml:space="preserve">  "40-40": {</t>
  </si>
  <si>
    <t xml:space="preserve">  "40-42": {</t>
  </si>
  <si>
    <t xml:space="preserve">  "40-44": {</t>
  </si>
  <si>
    <t xml:space="preserve">  "40-46": {</t>
  </si>
  <si>
    <t xml:space="preserve">  "40-48": {</t>
  </si>
  <si>
    <t xml:space="preserve">  "42-4": {</t>
  </si>
  <si>
    <t xml:space="preserve">  "42-6": {</t>
  </si>
  <si>
    <t xml:space="preserve">  "42-8": {</t>
  </si>
  <si>
    <t xml:space="preserve">  "42-10": {</t>
  </si>
  <si>
    <t xml:space="preserve">  "42-12": {</t>
  </si>
  <si>
    <t xml:space="preserve">  "42-14": {</t>
  </si>
  <si>
    <t xml:space="preserve">  "42-16": {</t>
  </si>
  <si>
    <t xml:space="preserve">  "42-18": {</t>
  </si>
  <si>
    <t xml:space="preserve">  "42-20": {</t>
  </si>
  <si>
    <t xml:space="preserve">  "42-22": {</t>
  </si>
  <si>
    <t xml:space="preserve">  "42-24": {</t>
  </si>
  <si>
    <t xml:space="preserve">  "42-26": {</t>
  </si>
  <si>
    <t xml:space="preserve">  "42-28": {</t>
  </si>
  <si>
    <t xml:space="preserve">  "42-30": {</t>
  </si>
  <si>
    <t xml:space="preserve">  "42-32": {</t>
  </si>
  <si>
    <t xml:space="preserve">  "42-34": {</t>
  </si>
  <si>
    <t xml:space="preserve">  "42-36": {</t>
  </si>
  <si>
    <t xml:space="preserve">  "42-38": {</t>
  </si>
  <si>
    <t xml:space="preserve">  "42-40": {</t>
  </si>
  <si>
    <t xml:space="preserve">  "42-42": {</t>
  </si>
  <si>
    <t xml:space="preserve">  "42-44": {</t>
  </si>
  <si>
    <t xml:space="preserve">  "42-46": {</t>
  </si>
  <si>
    <t xml:space="preserve">  "42-48": {</t>
  </si>
  <si>
    <t xml:space="preserve">  "44-4": {</t>
  </si>
  <si>
    <t xml:space="preserve">  "44-6": {</t>
  </si>
  <si>
    <t xml:space="preserve">  "44-8": {</t>
  </si>
  <si>
    <t xml:space="preserve">  "44-10": {</t>
  </si>
  <si>
    <t xml:space="preserve">  "44-12": {</t>
  </si>
  <si>
    <t xml:space="preserve">  "44-14": {</t>
  </si>
  <si>
    <t xml:space="preserve">  "44-16": {</t>
  </si>
  <si>
    <t xml:space="preserve">  "44-18": {</t>
  </si>
  <si>
    <t xml:space="preserve">  "44-20": {</t>
  </si>
  <si>
    <t xml:space="preserve">  "44-22": {</t>
  </si>
  <si>
    <t xml:space="preserve">  "44-24": {</t>
  </si>
  <si>
    <t xml:space="preserve">  "44-26": {</t>
  </si>
  <si>
    <t xml:space="preserve">  "44-28": {</t>
  </si>
  <si>
    <t xml:space="preserve">  "44-30": {</t>
  </si>
  <si>
    <t xml:space="preserve">  "44-32": {</t>
  </si>
  <si>
    <t xml:space="preserve">  "44-34": {</t>
  </si>
  <si>
    <t xml:space="preserve">  "44-36": {</t>
  </si>
  <si>
    <t xml:space="preserve">  "44-38": {</t>
  </si>
  <si>
    <t xml:space="preserve">  "44-40": {</t>
  </si>
  <si>
    <t xml:space="preserve">  "44-42": {</t>
  </si>
  <si>
    <t xml:space="preserve">  "44-44": {</t>
  </si>
  <si>
    <t xml:space="preserve">  "44-46": {</t>
  </si>
  <si>
    <t xml:space="preserve">  "44-48": {</t>
  </si>
  <si>
    <t xml:space="preserve">  "46-4": {</t>
  </si>
  <si>
    <t xml:space="preserve">    "resultPage": 43</t>
  </si>
  <si>
    <t xml:space="preserve">  "46-6": {</t>
  </si>
  <si>
    <t xml:space="preserve">  "46-8": {</t>
  </si>
  <si>
    <t xml:space="preserve">  "46-10": {</t>
  </si>
  <si>
    <t xml:space="preserve">  "46-12": {</t>
  </si>
  <si>
    <t xml:space="preserve">  "46-14": {</t>
  </si>
  <si>
    <t xml:space="preserve">  "46-16": {</t>
  </si>
  <si>
    <t xml:space="preserve">  "46-18": {</t>
  </si>
  <si>
    <t xml:space="preserve">  "46-20": {</t>
  </si>
  <si>
    <t xml:space="preserve">  "46-22": {</t>
  </si>
  <si>
    <t xml:space="preserve">  "46-24": {</t>
  </si>
  <si>
    <t xml:space="preserve">  "46-26": {</t>
  </si>
  <si>
    <t xml:space="preserve">  "46-28": {</t>
  </si>
  <si>
    <t xml:space="preserve">  "46-30": {</t>
  </si>
  <si>
    <t xml:space="preserve">  "46-32": {</t>
  </si>
  <si>
    <t xml:space="preserve">  "46-34": {</t>
  </si>
  <si>
    <t xml:space="preserve">  "46-36": {</t>
  </si>
  <si>
    <t xml:space="preserve">  "46-38": {</t>
  </si>
  <si>
    <t xml:space="preserve">  "46-40": {</t>
  </si>
  <si>
    <t xml:space="preserve">  "46-42": {</t>
  </si>
  <si>
    <t xml:space="preserve">  "46-44": {</t>
  </si>
  <si>
    <t xml:space="preserve">  "46-46": {</t>
  </si>
  <si>
    <t xml:space="preserve">  "46-48": {</t>
  </si>
  <si>
    <t xml:space="preserve">  "48-4": {</t>
  </si>
  <si>
    <t xml:space="preserve">  "48-6": {</t>
  </si>
  <si>
    <t xml:space="preserve">  "48-8": {</t>
  </si>
  <si>
    <t xml:space="preserve">  "48-10": {</t>
  </si>
  <si>
    <t xml:space="preserve">  "48-12": {</t>
  </si>
  <si>
    <t xml:space="preserve">  "48-14": {</t>
  </si>
  <si>
    <t xml:space="preserve">  "48-16": {</t>
  </si>
  <si>
    <t xml:space="preserve">  "48-18": {</t>
  </si>
  <si>
    <t xml:space="preserve">  "48-20": {</t>
  </si>
  <si>
    <t xml:space="preserve">  "48-22": {</t>
  </si>
  <si>
    <t xml:space="preserve">  "48-24": {</t>
  </si>
  <si>
    <t xml:space="preserve">  "48-26": {</t>
  </si>
  <si>
    <t xml:space="preserve">  "48-28": {</t>
  </si>
  <si>
    <t xml:space="preserve">  "48-30": {</t>
  </si>
  <si>
    <t xml:space="preserve">  "48-32": {</t>
  </si>
  <si>
    <t xml:space="preserve">  "48-34": {</t>
  </si>
  <si>
    <t xml:space="preserve">  "48-36": {</t>
  </si>
  <si>
    <t xml:space="preserve">  "48-38": {</t>
  </si>
  <si>
    <t xml:space="preserve">  "48-40": {</t>
  </si>
  <si>
    <t xml:space="preserve">  "48-42": {</t>
  </si>
  <si>
    <t xml:space="preserve">  "48-44": {</t>
  </si>
  <si>
    <t xml:space="preserve">  "48-46": {</t>
  </si>
  <si>
    <t xml:space="preserve">  "48-48": {</t>
  </si>
  <si>
    <t xml:space="preserve">  "50-50": {</t>
  </si>
  <si>
    <t xml:space="preserve">  "50-52": {</t>
  </si>
  <si>
    <t xml:space="preserve">  "50-54": {</t>
  </si>
  <si>
    <t xml:space="preserve">  "50-56": {</t>
  </si>
  <si>
    <t xml:space="preserve">    "resultPage": 39</t>
  </si>
  <si>
    <t xml:space="preserve">  "50-58": {</t>
  </si>
  <si>
    <t xml:space="preserve">  "50-60": {</t>
  </si>
  <si>
    <t xml:space="preserve">  "50-62": {</t>
  </si>
  <si>
    <t xml:space="preserve">  "50-64": {</t>
  </si>
  <si>
    <t xml:space="preserve">  "52-50": {</t>
  </si>
  <si>
    <t xml:space="preserve">  "52-52": {</t>
  </si>
  <si>
    <t xml:space="preserve">  "52-54": {</t>
  </si>
  <si>
    <t xml:space="preserve">  "52-56": {</t>
  </si>
  <si>
    <t xml:space="preserve">  "52-58": {</t>
  </si>
  <si>
    <t xml:space="preserve">  "52-60": {</t>
  </si>
  <si>
    <t xml:space="preserve">  "52-62": {</t>
  </si>
  <si>
    <t xml:space="preserve">  "52-64": {</t>
  </si>
  <si>
    <t xml:space="preserve">    "resultPage": 35</t>
  </si>
  <si>
    <t xml:space="preserve">  "54-50": {</t>
  </si>
  <si>
    <t xml:space="preserve">  "54-52": {</t>
  </si>
  <si>
    <t xml:space="preserve">  "54-54": {</t>
  </si>
  <si>
    <t xml:space="preserve">  "54-56": {</t>
  </si>
  <si>
    <t xml:space="preserve">  "54-58": {</t>
  </si>
  <si>
    <t xml:space="preserve">    "resultPage": 47</t>
  </si>
  <si>
    <t xml:space="preserve">  "54-60": {</t>
  </si>
  <si>
    <t xml:space="preserve">  "54-62": {</t>
  </si>
  <si>
    <t xml:space="preserve">  "54-64": {</t>
  </si>
  <si>
    <t xml:space="preserve">  "56-50": {</t>
  </si>
  <si>
    <t xml:space="preserve">  "56-52": {</t>
  </si>
  <si>
    <t xml:space="preserve">  "56-54": {</t>
  </si>
  <si>
    <t xml:space="preserve">  "56-56": {</t>
  </si>
  <si>
    <t xml:space="preserve">  "56-58": {</t>
  </si>
  <si>
    <t xml:space="preserve">  "56-60": {</t>
  </si>
  <si>
    <t xml:space="preserve">  "56-62": {</t>
  </si>
  <si>
    <t xml:space="preserve">  "56-64": {</t>
  </si>
  <si>
    <t xml:space="preserve">  "58-50": {</t>
  </si>
  <si>
    <t xml:space="preserve">  "58-52": {</t>
  </si>
  <si>
    <t xml:space="preserve">  "58-54": {</t>
  </si>
  <si>
    <t xml:space="preserve">  "58-56": {</t>
  </si>
  <si>
    <t xml:space="preserve">  "58-58": {</t>
  </si>
  <si>
    <t xml:space="preserve">  "58-60": {</t>
  </si>
  <si>
    <t xml:space="preserve">  "58-62": {</t>
  </si>
  <si>
    <t xml:space="preserve">  "58-64": {</t>
  </si>
  <si>
    <t xml:space="preserve">  "60-50": {</t>
  </si>
  <si>
    <t xml:space="preserve">  "60-52": {</t>
  </si>
  <si>
    <t xml:space="preserve">  "60-54": {</t>
  </si>
  <si>
    <t xml:space="preserve">  "60-56": {</t>
  </si>
  <si>
    <t xml:space="preserve">  "60-58": {</t>
  </si>
  <si>
    <t xml:space="preserve">  "60-60": {</t>
  </si>
  <si>
    <t xml:space="preserve">  "60-62": {</t>
  </si>
  <si>
    <t xml:space="preserve">  "60-64": {</t>
  </si>
  <si>
    <t xml:space="preserve">  "62-50": {</t>
  </si>
  <si>
    <t xml:space="preserve">  "62-52": {</t>
  </si>
  <si>
    <t xml:space="preserve">  "62-54": {</t>
  </si>
  <si>
    <t xml:space="preserve">  "62-56": {</t>
  </si>
  <si>
    <t xml:space="preserve">  "62-58": {</t>
  </si>
  <si>
    <t xml:space="preserve">  "62-60": {</t>
  </si>
  <si>
    <t xml:space="preserve">  "62-62": {</t>
  </si>
  <si>
    <t xml:space="preserve">  "62-64": {</t>
  </si>
  <si>
    <t xml:space="preserve">  "64-50": {</t>
  </si>
  <si>
    <t xml:space="preserve">  "64-52": {</t>
  </si>
  <si>
    <t xml:space="preserve">  "64-54": {</t>
  </si>
  <si>
    <t xml:space="preserve">  "64-56": {</t>
  </si>
  <si>
    <t xml:space="preserve">  "64-58": {</t>
  </si>
  <si>
    <t xml:space="preserve">  "64-60": {</t>
  </si>
  <si>
    <t xml:space="preserve">  "64-62": {</t>
  </si>
  <si>
    <t xml:space="preserve">  "64-64": {</t>
  </si>
  <si>
    <t xml:space="preserve">  }</t>
  </si>
  <si>
    <t>}</t>
  </si>
  <si>
    <t>JA</t>
  </si>
  <si>
    <t>Jumping Away</t>
  </si>
  <si>
    <t>SH</t>
  </si>
  <si>
    <t>Swinging High</t>
  </si>
  <si>
    <t>SL</t>
  </si>
  <si>
    <t>Swinging Low</t>
  </si>
  <si>
    <t>Da</t>
  </si>
  <si>
    <t>Dazed</t>
  </si>
  <si>
    <t>TH</t>
  </si>
  <si>
    <t>Thrusting High</t>
  </si>
  <si>
    <t>TL</t>
  </si>
  <si>
    <t>Thrusting Low</t>
  </si>
  <si>
    <t>LW</t>
  </si>
  <si>
    <t>Leg Wound</t>
  </si>
  <si>
    <t>SD</t>
  </si>
  <si>
    <t>Swinging Down</t>
  </si>
  <si>
    <t>BH</t>
  </si>
  <si>
    <t>Blocking High</t>
  </si>
  <si>
    <t>SoB</t>
  </si>
  <si>
    <t>Struck off Balance</t>
  </si>
  <si>
    <t>TA</t>
  </si>
  <si>
    <t>Turned Around</t>
  </si>
  <si>
    <t>BY</t>
  </si>
  <si>
    <t>Behind You</t>
  </si>
  <si>
    <t>Ki</t>
  </si>
  <si>
    <t>Kicking</t>
  </si>
  <si>
    <t>WD</t>
  </si>
  <si>
    <t>Weapon Dislodged</t>
  </si>
  <si>
    <t>Du</t>
  </si>
  <si>
    <t>Ducking</t>
  </si>
  <si>
    <t>AW</t>
  </si>
  <si>
    <t>Arm Wound</t>
  </si>
  <si>
    <t>Do</t>
  </si>
  <si>
    <t>Dodging</t>
  </si>
  <si>
    <t>XBW</t>
  </si>
  <si>
    <t>Extended Range Body Wound</t>
  </si>
  <si>
    <t>JU</t>
  </si>
  <si>
    <t>Jumping Up</t>
  </si>
  <si>
    <t>Ch</t>
  </si>
  <si>
    <t>Charging</t>
  </si>
  <si>
    <t>KD</t>
  </si>
  <si>
    <t>Knocked Down</t>
  </si>
  <si>
    <t>RW</t>
  </si>
  <si>
    <t>Retrieving Weapon</t>
  </si>
  <si>
    <t>X</t>
  </si>
  <si>
    <t>PH</t>
  </si>
  <si>
    <t>Parrying High</t>
  </si>
  <si>
    <t>XLW</t>
  </si>
  <si>
    <t>Extended Range Leg Wound</t>
  </si>
  <si>
    <t>PL</t>
  </si>
  <si>
    <t>Parrying Low</t>
  </si>
  <si>
    <t>KoB</t>
  </si>
  <si>
    <t>Kicked Off Balance</t>
  </si>
  <si>
    <t>BW</t>
  </si>
  <si>
    <t>Body Wound</t>
  </si>
  <si>
    <t>SSm</t>
  </si>
  <si>
    <t>Shield Smahed</t>
  </si>
  <si>
    <t>XBl</t>
  </si>
  <si>
    <t>Extended Range Blocking</t>
  </si>
  <si>
    <t>PoB</t>
  </si>
  <si>
    <t>Pushed off Balance</t>
  </si>
  <si>
    <t>Xdo</t>
  </si>
  <si>
    <t>Extended Range Dodging</t>
  </si>
  <si>
    <t>Blocking Low</t>
  </si>
  <si>
    <t>Score</t>
  </si>
  <si>
    <t>Add + X to your Score</t>
  </si>
  <si>
    <t>Red</t>
  </si>
  <si>
    <t>Blue</t>
  </si>
  <si>
    <t>Green</t>
  </si>
  <si>
    <t>Yellow</t>
  </si>
  <si>
    <t>Orange</t>
  </si>
  <si>
    <t>Brown</t>
  </si>
  <si>
    <t>Downswing</t>
  </si>
  <si>
    <t>Sideswing</t>
  </si>
  <si>
    <t>Thrusts</t>
  </si>
  <si>
    <t>Wildswing</t>
  </si>
  <si>
    <t>Jumps</t>
  </si>
  <si>
    <t>May use Weapon again</t>
  </si>
  <si>
    <t>Block</t>
  </si>
  <si>
    <t>Protected Attack</t>
  </si>
  <si>
    <t>Extended Rane</t>
  </si>
  <si>
    <t>Restore Body Point</t>
  </si>
  <si>
    <t>Black</t>
  </si>
  <si>
    <t>White</t>
  </si>
  <si>
    <t>If Pushed Off Balance goto 19</t>
  </si>
  <si>
    <t>Substract from any Weapon Damage for the Rest of the game</t>
  </si>
  <si>
    <t>goto X, if you have  both weapons goto</t>
  </si>
  <si>
    <t xml:space="preserve">If on a score Page, Goto </t>
  </si>
  <si>
    <t>Add + 2 to your Score</t>
  </si>
  <si>
    <t>No Red</t>
  </si>
  <si>
    <t>No Blue</t>
  </si>
  <si>
    <t>Only Green</t>
  </si>
  <si>
    <t>Only Yellow</t>
  </si>
  <si>
    <t>No Yellow</t>
  </si>
  <si>
    <t>No Orange</t>
  </si>
  <si>
    <t>Add + 2 to any Orange</t>
  </si>
  <si>
    <t>Only Brown</t>
  </si>
  <si>
    <t>Only Kicks</t>
  </si>
  <si>
    <t>Add + 2 to any DownSwing</t>
  </si>
  <si>
    <t>Add + 2 to any SideSwing</t>
  </si>
  <si>
    <t>Except Wildswings</t>
  </si>
  <si>
    <t>Until Weapon has been retrieved</t>
  </si>
  <si>
    <t>No Blocks for the rest of the game</t>
  </si>
  <si>
    <t>No Protected Attacks for the rest of the game</t>
  </si>
  <si>
    <t>Only Extended Range</t>
  </si>
  <si>
    <t>Restore 1 Body Point</t>
  </si>
  <si>
    <t>""</t>
  </si>
  <si>
    <t>",</t>
  </si>
  <si>
    <t xml:space="preserve">    "message":  "</t>
  </si>
  <si>
    <t xml:space="preserve">    "nextInstruction":  "</t>
  </si>
  <si>
    <t xml:space="preserve">    "damageModifier": </t>
  </si>
  <si>
    <t xml:space="preserve">  "2-2": {</t>
  </si>
  <si>
    <t xml:space="preserve">  "4-2": {</t>
  </si>
  <si>
    <t xml:space="preserve">  "6-2": {</t>
  </si>
  <si>
    <t xml:space="preserve">  "8-2": {</t>
  </si>
  <si>
    <t xml:space="preserve">  "10-2": {</t>
  </si>
  <si>
    <t xml:space="preserve">  "12-2": {</t>
  </si>
  <si>
    <t xml:space="preserve">  "14-2": {</t>
  </si>
  <si>
    <t xml:space="preserve">  "16-2": {</t>
  </si>
  <si>
    <t xml:space="preserve">  "18-2": {</t>
  </si>
  <si>
    <t xml:space="preserve">  "20-2": {</t>
  </si>
  <si>
    <t xml:space="preserve">  "22-2": {</t>
  </si>
  <si>
    <t xml:space="preserve">  "24-2": {</t>
  </si>
  <si>
    <t xml:space="preserve">  "28-2": {</t>
  </si>
  <si>
    <t xml:space="preserve">  "30-2": {</t>
  </si>
  <si>
    <t xml:space="preserve">  "32-2": {</t>
  </si>
  <si>
    <t xml:space="preserve">  "34-2": {</t>
  </si>
  <si>
    <t xml:space="preserve">  "36-2": {</t>
  </si>
  <si>
    <t xml:space="preserve">  "38-2": {</t>
  </si>
  <si>
    <t xml:space="preserve">  "40-2": {</t>
  </si>
  <si>
    <t xml:space="preserve">  "42-2": {</t>
  </si>
  <si>
    <t xml:space="preserve">  "44-2": {</t>
  </si>
  <si>
    <t xml:space="preserve">  "46-2": {</t>
  </si>
  <si>
    <t xml:space="preserve">  "48-2": {</t>
  </si>
  <si>
    <t xml:space="preserve">  "26-2": {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</si>
</sst>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0"/>
      <name val="Arial Narrow"/>
      <family val="2"/>
    </font>
    <font>
      <sz val="10"/>
      <name val="Arial Narrow"/>
      <family val="2"/>
    </font>
    <font>
      <sz val="10"/>
      <color indexed="10"/>
      <name val="Arial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1" fillId="0" borderId="0" xfId="0" applyFont="1" applyFill="1" applyBorder="1"/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textRotation="90"/>
    </xf>
    <xf numFmtId="0" fontId="1" fillId="0" borderId="0" xfId="0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816E1-CF9E-4F08-A66D-B79F75149E72}">
  <sheetPr codeName="Tabelle1"/>
  <dimension ref="A1:AG35"/>
  <sheetViews>
    <sheetView workbookViewId="0">
      <selection activeCell="D4" sqref="D4"/>
    </sheetView>
  </sheetViews>
  <sheetFormatPr baseColWidth="10" defaultRowHeight="14.4" x14ac:dyDescent="0.55000000000000004"/>
  <cols>
    <col min="1" max="33" width="2.15625" bestFit="1" customWidth="1"/>
  </cols>
  <sheetData>
    <row r="1" spans="1:33" x14ac:dyDescent="0.55000000000000004">
      <c r="A1" s="4"/>
      <c r="B1" s="7" t="s">
        <v>2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</row>
    <row r="2" spans="1:33" x14ac:dyDescent="0.55000000000000004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</row>
    <row r="3" spans="1:33" x14ac:dyDescent="0.55000000000000004">
      <c r="A3" s="1"/>
      <c r="B3" s="1">
        <v>2</v>
      </c>
      <c r="C3" s="1">
        <v>4</v>
      </c>
      <c r="D3" s="1">
        <v>6</v>
      </c>
      <c r="E3" s="1">
        <v>8</v>
      </c>
      <c r="F3" s="1">
        <v>10</v>
      </c>
      <c r="G3" s="1">
        <v>12</v>
      </c>
      <c r="H3" s="1">
        <v>14</v>
      </c>
      <c r="I3" s="1">
        <v>16</v>
      </c>
      <c r="J3" s="1">
        <v>18</v>
      </c>
      <c r="K3" s="1">
        <v>20</v>
      </c>
      <c r="L3" s="1">
        <v>22</v>
      </c>
      <c r="M3" s="1">
        <v>24</v>
      </c>
      <c r="N3" s="1">
        <v>26</v>
      </c>
      <c r="O3" s="1">
        <v>28</v>
      </c>
      <c r="P3" s="1">
        <v>30</v>
      </c>
      <c r="Q3" s="1">
        <v>32</v>
      </c>
      <c r="R3" s="1">
        <v>34</v>
      </c>
      <c r="S3" s="1">
        <v>36</v>
      </c>
      <c r="T3" s="1">
        <v>38</v>
      </c>
      <c r="U3" s="1">
        <v>40</v>
      </c>
      <c r="V3" s="1">
        <v>42</v>
      </c>
      <c r="W3" s="1">
        <v>44</v>
      </c>
      <c r="X3" s="1">
        <v>46</v>
      </c>
      <c r="Y3" s="1">
        <v>48</v>
      </c>
      <c r="Z3" s="1">
        <v>50</v>
      </c>
      <c r="AA3" s="1">
        <v>52</v>
      </c>
      <c r="AB3" s="1">
        <v>54</v>
      </c>
      <c r="AC3" s="1">
        <v>56</v>
      </c>
      <c r="AD3" s="1">
        <v>58</v>
      </c>
      <c r="AE3" s="1">
        <v>60</v>
      </c>
      <c r="AF3" s="1">
        <v>62</v>
      </c>
      <c r="AG3" s="1">
        <v>64</v>
      </c>
    </row>
    <row r="4" spans="1:33" x14ac:dyDescent="0.55000000000000004">
      <c r="A4" s="1">
        <v>2</v>
      </c>
      <c r="B4" s="2">
        <v>49</v>
      </c>
      <c r="C4" s="2">
        <v>5</v>
      </c>
      <c r="D4" s="3">
        <v>5</v>
      </c>
      <c r="E4" s="2">
        <v>5</v>
      </c>
      <c r="F4" s="2">
        <v>31</v>
      </c>
      <c r="G4" s="2">
        <v>31</v>
      </c>
      <c r="H4" s="2">
        <v>49</v>
      </c>
      <c r="I4" s="2">
        <v>57</v>
      </c>
      <c r="J4" s="2">
        <v>5</v>
      </c>
      <c r="K4" s="2">
        <v>5</v>
      </c>
      <c r="L4" s="2">
        <v>49</v>
      </c>
      <c r="M4" s="2">
        <v>53</v>
      </c>
      <c r="N4" s="2">
        <v>5</v>
      </c>
      <c r="O4" s="2">
        <v>7</v>
      </c>
      <c r="P4" s="2">
        <v>49</v>
      </c>
      <c r="Q4" s="3">
        <v>5</v>
      </c>
      <c r="R4" s="2">
        <v>5</v>
      </c>
      <c r="S4" s="2">
        <v>5</v>
      </c>
      <c r="T4" s="2">
        <v>31</v>
      </c>
      <c r="U4" s="2">
        <v>49</v>
      </c>
      <c r="V4" s="2">
        <v>49</v>
      </c>
      <c r="W4" s="2">
        <v>5</v>
      </c>
      <c r="X4" s="2">
        <v>5</v>
      </c>
      <c r="Y4" s="2">
        <v>5</v>
      </c>
      <c r="Z4" s="2"/>
      <c r="AA4" s="2"/>
      <c r="AB4" s="2"/>
      <c r="AC4" s="2"/>
      <c r="AD4" s="2"/>
      <c r="AE4" s="2"/>
      <c r="AF4" s="2"/>
      <c r="AG4" s="2"/>
    </row>
    <row r="5" spans="1:33" x14ac:dyDescent="0.55000000000000004">
      <c r="A5" s="1">
        <v>4</v>
      </c>
      <c r="B5" s="2">
        <v>63</v>
      </c>
      <c r="C5" s="2">
        <v>59</v>
      </c>
      <c r="D5" s="2">
        <v>63</v>
      </c>
      <c r="E5" s="2">
        <v>63</v>
      </c>
      <c r="F5" s="2">
        <v>53</v>
      </c>
      <c r="G5" s="2">
        <v>63</v>
      </c>
      <c r="H5" s="2">
        <v>63</v>
      </c>
      <c r="I5" s="2">
        <v>57</v>
      </c>
      <c r="J5" s="2">
        <v>63</v>
      </c>
      <c r="K5" s="2">
        <v>63</v>
      </c>
      <c r="L5" s="2">
        <v>63</v>
      </c>
      <c r="M5" s="2">
        <v>41</v>
      </c>
      <c r="N5" s="2">
        <v>63</v>
      </c>
      <c r="O5" s="2">
        <v>31</v>
      </c>
      <c r="P5" s="2">
        <v>63</v>
      </c>
      <c r="Q5" s="3">
        <v>63</v>
      </c>
      <c r="R5" s="2">
        <v>63</v>
      </c>
      <c r="S5" s="2">
        <v>7</v>
      </c>
      <c r="T5" s="2">
        <v>53</v>
      </c>
      <c r="U5" s="2">
        <v>63</v>
      </c>
      <c r="V5" s="2">
        <v>63</v>
      </c>
      <c r="W5" s="2">
        <v>19</v>
      </c>
      <c r="X5" s="2">
        <v>63</v>
      </c>
      <c r="Y5" s="2">
        <v>19</v>
      </c>
      <c r="Z5" s="2"/>
      <c r="AA5" s="2"/>
      <c r="AB5" s="2"/>
      <c r="AC5" s="2"/>
      <c r="AD5" s="2"/>
      <c r="AE5" s="2"/>
      <c r="AF5" s="2"/>
      <c r="AG5" s="2"/>
    </row>
    <row r="6" spans="1:33" x14ac:dyDescent="0.55000000000000004">
      <c r="A6" s="1">
        <v>6</v>
      </c>
      <c r="B6" s="2">
        <v>13</v>
      </c>
      <c r="C6" s="2">
        <v>59</v>
      </c>
      <c r="D6" s="2">
        <v>17</v>
      </c>
      <c r="E6" s="2">
        <v>9</v>
      </c>
      <c r="F6" s="2">
        <v>9</v>
      </c>
      <c r="G6" s="2">
        <v>9</v>
      </c>
      <c r="H6" s="2">
        <v>49</v>
      </c>
      <c r="I6" s="2">
        <v>9</v>
      </c>
      <c r="J6" s="2">
        <v>17</v>
      </c>
      <c r="K6" s="2">
        <v>9</v>
      </c>
      <c r="L6" s="2">
        <v>9</v>
      </c>
      <c r="M6" s="2">
        <v>17</v>
      </c>
      <c r="N6" s="2">
        <v>59</v>
      </c>
      <c r="O6" s="2">
        <v>45</v>
      </c>
      <c r="P6" s="2">
        <v>9</v>
      </c>
      <c r="Q6" s="2">
        <v>45</v>
      </c>
      <c r="R6" s="2">
        <v>11</v>
      </c>
      <c r="S6" s="2">
        <v>55</v>
      </c>
      <c r="T6" s="2">
        <v>9</v>
      </c>
      <c r="U6" s="2">
        <v>31</v>
      </c>
      <c r="V6" s="2">
        <v>9</v>
      </c>
      <c r="W6" s="2">
        <v>45</v>
      </c>
      <c r="X6" s="2">
        <v>9</v>
      </c>
      <c r="Y6" s="2">
        <v>45</v>
      </c>
      <c r="Z6" s="2"/>
      <c r="AA6" s="2"/>
      <c r="AB6" s="2"/>
      <c r="AC6" s="2"/>
      <c r="AD6" s="2"/>
      <c r="AE6" s="2"/>
      <c r="AF6" s="2"/>
      <c r="AG6" s="2"/>
    </row>
    <row r="7" spans="1:33" x14ac:dyDescent="0.55000000000000004">
      <c r="A7" s="1">
        <v>8</v>
      </c>
      <c r="B7" s="2">
        <v>19</v>
      </c>
      <c r="C7" s="2">
        <v>33</v>
      </c>
      <c r="D7" s="2">
        <v>33</v>
      </c>
      <c r="E7" s="2">
        <v>33</v>
      </c>
      <c r="F7" s="2">
        <v>19</v>
      </c>
      <c r="G7" s="2">
        <v>19</v>
      </c>
      <c r="H7" s="2">
        <v>23</v>
      </c>
      <c r="I7" s="2">
        <v>61</v>
      </c>
      <c r="J7" s="2">
        <v>33</v>
      </c>
      <c r="K7" s="2">
        <v>33</v>
      </c>
      <c r="L7" s="2">
        <v>23</v>
      </c>
      <c r="M7" s="2">
        <v>33</v>
      </c>
      <c r="N7" s="2">
        <v>33</v>
      </c>
      <c r="O7" s="2">
        <v>19</v>
      </c>
      <c r="P7" s="2">
        <v>33</v>
      </c>
      <c r="Q7" s="2">
        <v>33</v>
      </c>
      <c r="R7" s="2">
        <v>33</v>
      </c>
      <c r="S7" s="2">
        <v>33</v>
      </c>
      <c r="T7" s="2">
        <v>19</v>
      </c>
      <c r="U7" s="2">
        <v>33</v>
      </c>
      <c r="V7" s="2">
        <v>19</v>
      </c>
      <c r="W7" s="2">
        <v>33</v>
      </c>
      <c r="X7" s="2">
        <v>33</v>
      </c>
      <c r="Y7" s="2">
        <v>19</v>
      </c>
      <c r="Z7" s="2"/>
      <c r="AA7" s="2"/>
      <c r="AB7" s="2"/>
      <c r="AC7" s="2"/>
      <c r="AD7" s="2"/>
      <c r="AE7" s="2"/>
      <c r="AF7" s="2"/>
      <c r="AG7" s="2"/>
    </row>
    <row r="8" spans="1:33" x14ac:dyDescent="0.55000000000000004">
      <c r="A8" s="1">
        <v>10</v>
      </c>
      <c r="B8" s="2">
        <v>13</v>
      </c>
      <c r="C8" s="2">
        <v>3</v>
      </c>
      <c r="D8" s="2">
        <v>3</v>
      </c>
      <c r="E8" s="2">
        <v>3</v>
      </c>
      <c r="F8" s="2">
        <v>45</v>
      </c>
      <c r="G8" s="2">
        <v>53</v>
      </c>
      <c r="H8" s="3">
        <v>3</v>
      </c>
      <c r="I8" s="2">
        <v>57</v>
      </c>
      <c r="J8" s="2">
        <v>3</v>
      </c>
      <c r="K8" s="2">
        <v>21</v>
      </c>
      <c r="L8" s="3">
        <v>3</v>
      </c>
      <c r="M8" s="2">
        <v>45</v>
      </c>
      <c r="N8" s="2">
        <v>3</v>
      </c>
      <c r="O8" s="2">
        <v>3</v>
      </c>
      <c r="P8" s="2">
        <v>3</v>
      </c>
      <c r="Q8" s="2">
        <v>3</v>
      </c>
      <c r="R8" s="2">
        <v>51</v>
      </c>
      <c r="S8" s="2">
        <v>3</v>
      </c>
      <c r="T8" s="2">
        <v>45</v>
      </c>
      <c r="U8" s="2">
        <v>3</v>
      </c>
      <c r="V8" s="2">
        <v>13</v>
      </c>
      <c r="W8" s="2">
        <v>45</v>
      </c>
      <c r="X8" s="2">
        <v>3</v>
      </c>
      <c r="Y8" s="2">
        <v>45</v>
      </c>
      <c r="Z8" s="2"/>
      <c r="AA8" s="2"/>
      <c r="AB8" s="2"/>
      <c r="AC8" s="2"/>
      <c r="AD8" s="2"/>
      <c r="AE8" s="2"/>
      <c r="AF8" s="2"/>
      <c r="AG8" s="2"/>
    </row>
    <row r="9" spans="1:33" x14ac:dyDescent="0.55000000000000004">
      <c r="A9" s="1">
        <v>12</v>
      </c>
      <c r="B9" s="2">
        <v>13</v>
      </c>
      <c r="C9" s="2">
        <v>59</v>
      </c>
      <c r="D9" s="2">
        <v>3</v>
      </c>
      <c r="E9" s="2">
        <v>3</v>
      </c>
      <c r="F9" s="2">
        <v>3</v>
      </c>
      <c r="G9" s="2">
        <v>45</v>
      </c>
      <c r="H9" s="2">
        <v>3</v>
      </c>
      <c r="I9" s="2">
        <v>57</v>
      </c>
      <c r="J9" s="2">
        <v>3</v>
      </c>
      <c r="K9" s="2">
        <v>3</v>
      </c>
      <c r="L9" s="3">
        <v>3</v>
      </c>
      <c r="M9" s="2">
        <v>45</v>
      </c>
      <c r="N9" s="2">
        <v>59</v>
      </c>
      <c r="O9" s="2">
        <v>53</v>
      </c>
      <c r="P9" s="2">
        <v>3</v>
      </c>
      <c r="Q9" s="2">
        <v>45</v>
      </c>
      <c r="R9" s="2">
        <v>3</v>
      </c>
      <c r="S9" s="2">
        <v>3</v>
      </c>
      <c r="T9" s="2">
        <v>45</v>
      </c>
      <c r="U9" s="2">
        <v>41</v>
      </c>
      <c r="V9" s="2">
        <v>49</v>
      </c>
      <c r="W9" s="2">
        <v>3</v>
      </c>
      <c r="X9" s="2">
        <v>3</v>
      </c>
      <c r="Y9" s="2">
        <v>45</v>
      </c>
      <c r="Z9" s="2"/>
      <c r="AA9" s="2"/>
      <c r="AB9" s="2"/>
      <c r="AC9" s="2"/>
      <c r="AD9" s="2"/>
      <c r="AE9" s="2"/>
      <c r="AF9" s="2"/>
      <c r="AG9" s="2"/>
    </row>
    <row r="10" spans="1:33" x14ac:dyDescent="0.55000000000000004">
      <c r="A10" s="1">
        <v>14</v>
      </c>
      <c r="B10" s="2">
        <v>49</v>
      </c>
      <c r="C10" s="2">
        <v>11</v>
      </c>
      <c r="D10" s="2">
        <v>49</v>
      </c>
      <c r="E10" s="2">
        <v>21</v>
      </c>
      <c r="F10" s="2">
        <v>7</v>
      </c>
      <c r="G10" s="2">
        <v>11</v>
      </c>
      <c r="H10" s="3">
        <v>11</v>
      </c>
      <c r="I10" s="2">
        <v>11</v>
      </c>
      <c r="J10" s="2">
        <v>11</v>
      </c>
      <c r="K10" s="2">
        <v>11</v>
      </c>
      <c r="L10" s="3">
        <v>11</v>
      </c>
      <c r="M10" s="2">
        <v>11</v>
      </c>
      <c r="N10" s="2">
        <v>11</v>
      </c>
      <c r="O10" s="2">
        <v>11</v>
      </c>
      <c r="P10" s="2">
        <v>11</v>
      </c>
      <c r="Q10" s="3">
        <v>11</v>
      </c>
      <c r="R10" s="2">
        <v>11</v>
      </c>
      <c r="S10" s="2">
        <v>11</v>
      </c>
      <c r="T10" s="2">
        <v>7</v>
      </c>
      <c r="U10" s="2">
        <v>49</v>
      </c>
      <c r="V10" s="2">
        <v>49</v>
      </c>
      <c r="W10" s="2">
        <v>19</v>
      </c>
      <c r="X10" s="2">
        <v>11</v>
      </c>
      <c r="Y10" s="2">
        <v>49</v>
      </c>
      <c r="Z10" s="2"/>
      <c r="AA10" s="2"/>
      <c r="AB10" s="2"/>
      <c r="AC10" s="2"/>
      <c r="AD10" s="2"/>
      <c r="AE10" s="2"/>
      <c r="AF10" s="2"/>
      <c r="AG10" s="2"/>
    </row>
    <row r="11" spans="1:33" x14ac:dyDescent="0.55000000000000004">
      <c r="A11" s="1">
        <v>16</v>
      </c>
      <c r="B11" s="2">
        <v>57</v>
      </c>
      <c r="C11" s="2">
        <v>57</v>
      </c>
      <c r="D11" s="2">
        <v>19</v>
      </c>
      <c r="E11" s="2">
        <v>57</v>
      </c>
      <c r="F11" s="2">
        <v>57</v>
      </c>
      <c r="G11" s="2">
        <v>57</v>
      </c>
      <c r="H11" s="2">
        <v>19</v>
      </c>
      <c r="I11" s="2">
        <v>57</v>
      </c>
      <c r="J11" s="2">
        <v>57</v>
      </c>
      <c r="K11" s="2">
        <v>57</v>
      </c>
      <c r="L11" s="2">
        <v>19</v>
      </c>
      <c r="M11" s="2">
        <v>1</v>
      </c>
      <c r="N11" s="2">
        <v>57</v>
      </c>
      <c r="O11" s="2">
        <v>23</v>
      </c>
      <c r="P11" s="2">
        <v>57</v>
      </c>
      <c r="Q11" s="2">
        <v>19</v>
      </c>
      <c r="R11" s="2">
        <v>1</v>
      </c>
      <c r="S11" s="2">
        <v>1</v>
      </c>
      <c r="T11" s="2">
        <v>57</v>
      </c>
      <c r="U11" s="2">
        <v>23</v>
      </c>
      <c r="V11" s="2">
        <v>57</v>
      </c>
      <c r="W11" s="2">
        <v>57</v>
      </c>
      <c r="X11" s="2">
        <v>1</v>
      </c>
      <c r="Y11" s="2">
        <v>57</v>
      </c>
      <c r="Z11" s="2"/>
      <c r="AA11" s="2"/>
      <c r="AB11" s="2"/>
      <c r="AC11" s="2"/>
      <c r="AD11" s="2"/>
      <c r="AE11" s="2"/>
      <c r="AF11" s="2"/>
      <c r="AG11" s="2"/>
    </row>
    <row r="12" spans="1:33" x14ac:dyDescent="0.55000000000000004">
      <c r="A12" s="1">
        <v>18</v>
      </c>
      <c r="B12" s="2">
        <v>37</v>
      </c>
      <c r="C12" s="2">
        <v>37</v>
      </c>
      <c r="D12" s="3">
        <v>37</v>
      </c>
      <c r="E12" s="2">
        <v>37</v>
      </c>
      <c r="F12" s="2">
        <v>13</v>
      </c>
      <c r="G12" s="2">
        <v>13</v>
      </c>
      <c r="H12" s="2">
        <v>37</v>
      </c>
      <c r="I12" s="2">
        <v>61</v>
      </c>
      <c r="J12" s="2">
        <v>37</v>
      </c>
      <c r="K12" s="2">
        <v>37</v>
      </c>
      <c r="L12" s="2">
        <v>37</v>
      </c>
      <c r="M12" s="2">
        <v>53</v>
      </c>
      <c r="N12" s="2">
        <v>59</v>
      </c>
      <c r="O12" s="2">
        <v>37</v>
      </c>
      <c r="P12" s="2">
        <v>37</v>
      </c>
      <c r="Q12" s="3">
        <v>37</v>
      </c>
      <c r="R12" s="2">
        <v>37</v>
      </c>
      <c r="S12" s="2">
        <v>7</v>
      </c>
      <c r="T12" s="2">
        <v>13</v>
      </c>
      <c r="U12" s="2">
        <v>23</v>
      </c>
      <c r="V12" s="2">
        <v>37</v>
      </c>
      <c r="W12" s="2">
        <v>7</v>
      </c>
      <c r="X12" s="2">
        <v>37</v>
      </c>
      <c r="Y12" s="2">
        <v>19</v>
      </c>
      <c r="Z12" s="2"/>
      <c r="AA12" s="2"/>
      <c r="AB12" s="2"/>
      <c r="AC12" s="2"/>
      <c r="AD12" s="2"/>
      <c r="AE12" s="2"/>
      <c r="AF12" s="2"/>
      <c r="AG12" s="2"/>
    </row>
    <row r="13" spans="1:33" x14ac:dyDescent="0.55000000000000004">
      <c r="A13" s="1">
        <v>20</v>
      </c>
      <c r="B13" s="2">
        <v>19</v>
      </c>
      <c r="C13" s="2">
        <v>59</v>
      </c>
      <c r="D13" s="2">
        <v>29</v>
      </c>
      <c r="E13" s="2">
        <v>29</v>
      </c>
      <c r="F13" s="2">
        <v>23</v>
      </c>
      <c r="G13" s="2">
        <v>29</v>
      </c>
      <c r="H13" s="3">
        <v>29</v>
      </c>
      <c r="I13" s="2">
        <v>61</v>
      </c>
      <c r="J13" s="2">
        <v>29</v>
      </c>
      <c r="K13" s="2">
        <v>29</v>
      </c>
      <c r="L13" s="2">
        <v>53</v>
      </c>
      <c r="M13" s="2">
        <v>7</v>
      </c>
      <c r="N13" s="2">
        <v>29</v>
      </c>
      <c r="O13" s="2">
        <v>23</v>
      </c>
      <c r="P13" s="2">
        <v>29</v>
      </c>
      <c r="Q13" s="2">
        <v>29</v>
      </c>
      <c r="R13" s="3">
        <v>41</v>
      </c>
      <c r="S13" s="2">
        <v>7</v>
      </c>
      <c r="T13" s="2">
        <v>29</v>
      </c>
      <c r="U13" s="2">
        <v>53</v>
      </c>
      <c r="V13" s="2">
        <v>31</v>
      </c>
      <c r="W13" s="2">
        <v>19</v>
      </c>
      <c r="X13" s="2">
        <v>29</v>
      </c>
      <c r="Y13" s="2">
        <v>29</v>
      </c>
      <c r="Z13" s="2"/>
      <c r="AA13" s="2"/>
      <c r="AB13" s="2"/>
      <c r="AC13" s="2"/>
      <c r="AD13" s="2"/>
      <c r="AE13" s="2"/>
      <c r="AF13" s="2"/>
      <c r="AG13" s="2"/>
    </row>
    <row r="14" spans="1:33" x14ac:dyDescent="0.55000000000000004">
      <c r="A14" s="1">
        <v>22</v>
      </c>
      <c r="B14" s="2">
        <v>49</v>
      </c>
      <c r="C14" s="2">
        <v>11</v>
      </c>
      <c r="D14" s="2">
        <v>11</v>
      </c>
      <c r="E14" s="2">
        <v>21</v>
      </c>
      <c r="F14" s="2">
        <v>7</v>
      </c>
      <c r="G14" s="2">
        <v>11</v>
      </c>
      <c r="H14" s="2">
        <v>11</v>
      </c>
      <c r="I14" s="2">
        <v>11</v>
      </c>
      <c r="J14" s="2">
        <v>11</v>
      </c>
      <c r="K14" s="2">
        <v>11</v>
      </c>
      <c r="L14" s="3">
        <v>11</v>
      </c>
      <c r="M14" s="2">
        <v>11</v>
      </c>
      <c r="N14" s="2">
        <v>11</v>
      </c>
      <c r="O14" s="2">
        <v>11</v>
      </c>
      <c r="P14" s="2">
        <v>27</v>
      </c>
      <c r="Q14" s="3">
        <v>11</v>
      </c>
      <c r="R14" s="2">
        <v>51</v>
      </c>
      <c r="S14" s="2">
        <v>11</v>
      </c>
      <c r="T14" s="2">
        <v>9</v>
      </c>
      <c r="U14" s="2">
        <v>13</v>
      </c>
      <c r="V14" s="2">
        <v>49</v>
      </c>
      <c r="W14" s="2">
        <v>19</v>
      </c>
      <c r="X14" s="2">
        <v>11</v>
      </c>
      <c r="Y14" s="2">
        <v>49</v>
      </c>
      <c r="Z14" s="2"/>
      <c r="AA14" s="2"/>
      <c r="AB14" s="2"/>
      <c r="AC14" s="2"/>
      <c r="AD14" s="2"/>
      <c r="AE14" s="2"/>
      <c r="AF14" s="2"/>
      <c r="AG14" s="2"/>
    </row>
    <row r="15" spans="1:33" x14ac:dyDescent="0.55000000000000004">
      <c r="A15" s="1">
        <v>24</v>
      </c>
      <c r="B15" s="2">
        <v>13</v>
      </c>
      <c r="C15" s="2">
        <v>15</v>
      </c>
      <c r="D15" s="2">
        <v>15</v>
      </c>
      <c r="E15" s="2">
        <v>15</v>
      </c>
      <c r="F15" s="2">
        <v>45</v>
      </c>
      <c r="G15" s="2">
        <v>45</v>
      </c>
      <c r="H15" s="3">
        <v>15</v>
      </c>
      <c r="I15" s="2">
        <v>19</v>
      </c>
      <c r="J15" s="2">
        <v>15</v>
      </c>
      <c r="K15" s="2">
        <v>15</v>
      </c>
      <c r="L15" s="2">
        <v>15</v>
      </c>
      <c r="M15" s="2">
        <v>7</v>
      </c>
      <c r="N15" s="2">
        <v>15</v>
      </c>
      <c r="O15" s="2">
        <v>53</v>
      </c>
      <c r="P15" s="2">
        <v>15</v>
      </c>
      <c r="Q15" s="2">
        <v>45</v>
      </c>
      <c r="R15" s="2">
        <v>15</v>
      </c>
      <c r="S15" s="2">
        <v>15</v>
      </c>
      <c r="T15" s="2">
        <v>45</v>
      </c>
      <c r="U15" s="2">
        <v>23</v>
      </c>
      <c r="V15" s="2">
        <v>13</v>
      </c>
      <c r="W15" s="2">
        <v>15</v>
      </c>
      <c r="X15" s="2">
        <v>15</v>
      </c>
      <c r="Y15" s="2">
        <v>19</v>
      </c>
      <c r="Z15" s="2"/>
      <c r="AA15" s="2"/>
      <c r="AB15" s="2"/>
      <c r="AC15" s="2"/>
      <c r="AD15" s="2"/>
      <c r="AE15" s="2"/>
      <c r="AF15" s="2"/>
      <c r="AG15" s="2"/>
    </row>
    <row r="16" spans="1:33" x14ac:dyDescent="0.55000000000000004">
      <c r="A16" s="1">
        <v>26</v>
      </c>
      <c r="B16" s="2">
        <v>13</v>
      </c>
      <c r="C16" s="2">
        <v>17</v>
      </c>
      <c r="D16" s="2">
        <v>17</v>
      </c>
      <c r="E16" s="2">
        <v>17</v>
      </c>
      <c r="F16" s="2">
        <v>17</v>
      </c>
      <c r="G16" s="2">
        <v>17</v>
      </c>
      <c r="H16" s="3">
        <v>17</v>
      </c>
      <c r="I16" s="2">
        <v>57</v>
      </c>
      <c r="J16" s="2">
        <v>17</v>
      </c>
      <c r="K16" s="2">
        <v>17</v>
      </c>
      <c r="L16" s="2">
        <v>17</v>
      </c>
      <c r="M16" s="2">
        <v>17</v>
      </c>
      <c r="N16" s="2">
        <v>59</v>
      </c>
      <c r="O16" s="2">
        <v>53</v>
      </c>
      <c r="P16" s="2">
        <v>17</v>
      </c>
      <c r="Q16" s="2">
        <v>17</v>
      </c>
      <c r="R16" s="2">
        <v>51</v>
      </c>
      <c r="S16" s="2">
        <v>55</v>
      </c>
      <c r="T16" s="2">
        <v>17</v>
      </c>
      <c r="U16" s="2">
        <v>13</v>
      </c>
      <c r="V16" s="2">
        <v>17</v>
      </c>
      <c r="W16" s="2">
        <v>17</v>
      </c>
      <c r="X16" s="2">
        <v>17</v>
      </c>
      <c r="Y16" s="2">
        <v>17</v>
      </c>
      <c r="Z16" s="2"/>
      <c r="AA16" s="2"/>
      <c r="AB16" s="2"/>
      <c r="AC16" s="2"/>
      <c r="AD16" s="2"/>
      <c r="AE16" s="2"/>
      <c r="AF16" s="2"/>
      <c r="AG16" s="2"/>
    </row>
    <row r="17" spans="1:33" x14ac:dyDescent="0.55000000000000004">
      <c r="A17" s="1">
        <v>28</v>
      </c>
      <c r="B17" s="2">
        <v>13</v>
      </c>
      <c r="C17" s="2">
        <v>3</v>
      </c>
      <c r="D17" s="2">
        <v>45</v>
      </c>
      <c r="E17" s="2">
        <v>3</v>
      </c>
      <c r="F17" s="2">
        <v>31</v>
      </c>
      <c r="G17" s="2">
        <v>31</v>
      </c>
      <c r="H17" s="3">
        <v>3</v>
      </c>
      <c r="I17" s="2">
        <v>21</v>
      </c>
      <c r="J17" s="2">
        <v>3</v>
      </c>
      <c r="K17" s="2">
        <v>21</v>
      </c>
      <c r="L17" s="2">
        <v>3</v>
      </c>
      <c r="M17" s="2">
        <v>3</v>
      </c>
      <c r="N17" s="2">
        <v>3</v>
      </c>
      <c r="O17" s="2">
        <v>19</v>
      </c>
      <c r="P17" s="2">
        <v>3</v>
      </c>
      <c r="Q17" s="3">
        <v>3</v>
      </c>
      <c r="R17" s="2">
        <v>51</v>
      </c>
      <c r="S17" s="2">
        <v>7</v>
      </c>
      <c r="T17" s="2">
        <v>3</v>
      </c>
      <c r="U17" s="2">
        <v>3</v>
      </c>
      <c r="V17" s="2">
        <v>13</v>
      </c>
      <c r="W17" s="2">
        <v>19</v>
      </c>
      <c r="X17" s="2">
        <v>3</v>
      </c>
      <c r="Y17" s="2">
        <v>19</v>
      </c>
      <c r="Z17" s="2"/>
      <c r="AA17" s="2"/>
      <c r="AB17" s="2"/>
      <c r="AC17" s="2"/>
      <c r="AD17" s="2"/>
      <c r="AE17" s="2"/>
      <c r="AF17" s="2"/>
      <c r="AG17" s="2"/>
    </row>
    <row r="18" spans="1:33" x14ac:dyDescent="0.55000000000000004">
      <c r="A18" s="1">
        <v>30</v>
      </c>
      <c r="B18" s="2">
        <v>49</v>
      </c>
      <c r="C18" s="2">
        <v>15</v>
      </c>
      <c r="D18" s="2">
        <v>5</v>
      </c>
      <c r="E18" s="2">
        <v>3</v>
      </c>
      <c r="F18" s="2">
        <v>3</v>
      </c>
      <c r="G18" s="2">
        <v>3</v>
      </c>
      <c r="H18" s="2">
        <v>5</v>
      </c>
      <c r="I18" s="2">
        <v>57</v>
      </c>
      <c r="J18" s="2">
        <v>3</v>
      </c>
      <c r="K18" s="2">
        <v>3</v>
      </c>
      <c r="L18" s="2">
        <v>5</v>
      </c>
      <c r="M18" s="2">
        <v>3</v>
      </c>
      <c r="N18" s="2">
        <v>3</v>
      </c>
      <c r="O18" s="2">
        <v>31</v>
      </c>
      <c r="P18" s="2">
        <v>27</v>
      </c>
      <c r="Q18" s="2">
        <v>3</v>
      </c>
      <c r="R18" s="2">
        <v>51</v>
      </c>
      <c r="S18" s="2">
        <v>27</v>
      </c>
      <c r="T18" s="2">
        <v>5</v>
      </c>
      <c r="U18" s="2">
        <v>5</v>
      </c>
      <c r="V18" s="2">
        <v>5</v>
      </c>
      <c r="W18" s="2">
        <v>19</v>
      </c>
      <c r="X18" s="2">
        <v>15</v>
      </c>
      <c r="Y18" s="2">
        <v>19</v>
      </c>
      <c r="Z18" s="2"/>
      <c r="AA18" s="2"/>
      <c r="AB18" s="2"/>
      <c r="AC18" s="2"/>
      <c r="AD18" s="2"/>
      <c r="AE18" s="2"/>
      <c r="AF18" s="2"/>
      <c r="AG18" s="2"/>
    </row>
    <row r="19" spans="1:33" x14ac:dyDescent="0.55000000000000004">
      <c r="A19" s="1">
        <v>32</v>
      </c>
      <c r="B19" s="2">
        <v>13</v>
      </c>
      <c r="C19" s="2">
        <v>9</v>
      </c>
      <c r="D19" s="2">
        <v>45</v>
      </c>
      <c r="E19" s="2">
        <v>9</v>
      </c>
      <c r="F19" s="2">
        <v>53</v>
      </c>
      <c r="G19" s="2">
        <v>45</v>
      </c>
      <c r="H19" s="3">
        <v>9</v>
      </c>
      <c r="I19" s="2">
        <v>9</v>
      </c>
      <c r="J19" s="2">
        <v>9</v>
      </c>
      <c r="K19" s="2">
        <v>9</v>
      </c>
      <c r="L19" s="3">
        <v>9</v>
      </c>
      <c r="M19" s="2">
        <v>45</v>
      </c>
      <c r="N19" s="2">
        <v>9</v>
      </c>
      <c r="O19" s="2">
        <v>9</v>
      </c>
      <c r="P19" s="2">
        <v>27</v>
      </c>
      <c r="Q19" s="3">
        <v>9</v>
      </c>
      <c r="R19" s="2">
        <v>51</v>
      </c>
      <c r="S19" s="2">
        <v>9</v>
      </c>
      <c r="T19" s="2">
        <v>45</v>
      </c>
      <c r="U19" s="2">
        <v>9</v>
      </c>
      <c r="V19" s="2">
        <v>9</v>
      </c>
      <c r="W19" s="2">
        <v>45</v>
      </c>
      <c r="X19" s="2">
        <v>9</v>
      </c>
      <c r="Y19" s="2">
        <v>9</v>
      </c>
      <c r="Z19" s="2"/>
      <c r="AA19" s="2"/>
      <c r="AB19" s="2"/>
      <c r="AC19" s="2"/>
      <c r="AD19" s="2"/>
      <c r="AE19" s="2"/>
      <c r="AF19" s="2"/>
      <c r="AG19" s="2"/>
    </row>
    <row r="20" spans="1:33" x14ac:dyDescent="0.55000000000000004">
      <c r="A20" s="1">
        <v>34</v>
      </c>
      <c r="B20" s="2">
        <v>41</v>
      </c>
      <c r="C20" s="2">
        <v>59</v>
      </c>
      <c r="D20" s="3">
        <v>25</v>
      </c>
      <c r="E20" s="2">
        <v>19</v>
      </c>
      <c r="F20" s="2">
        <v>25</v>
      </c>
      <c r="G20" s="2">
        <v>25</v>
      </c>
      <c r="H20" s="3">
        <v>25</v>
      </c>
      <c r="I20" s="2">
        <v>41</v>
      </c>
      <c r="J20" s="2">
        <v>41</v>
      </c>
      <c r="K20" s="2">
        <v>25</v>
      </c>
      <c r="L20" s="2">
        <v>25</v>
      </c>
      <c r="M20" s="2">
        <v>53</v>
      </c>
      <c r="N20" s="2">
        <v>25</v>
      </c>
      <c r="O20" s="2">
        <v>25</v>
      </c>
      <c r="P20" s="2">
        <v>25</v>
      </c>
      <c r="Q20" s="2">
        <v>25</v>
      </c>
      <c r="R20" s="2">
        <v>51</v>
      </c>
      <c r="S20" s="2">
        <v>7</v>
      </c>
      <c r="T20" s="2">
        <v>25</v>
      </c>
      <c r="U20" s="2">
        <v>25</v>
      </c>
      <c r="V20" s="2">
        <v>41</v>
      </c>
      <c r="W20" s="2">
        <v>19</v>
      </c>
      <c r="X20" s="2">
        <v>25</v>
      </c>
      <c r="Y20" s="2">
        <v>25</v>
      </c>
      <c r="Z20" s="2"/>
      <c r="AA20" s="2"/>
      <c r="AB20" s="2"/>
      <c r="AC20" s="2"/>
      <c r="AD20" s="2"/>
      <c r="AE20" s="2"/>
      <c r="AF20" s="2"/>
      <c r="AG20" s="2"/>
    </row>
    <row r="21" spans="1:33" x14ac:dyDescent="0.55000000000000004">
      <c r="A21" s="1">
        <v>36</v>
      </c>
      <c r="B21" s="2">
        <v>13</v>
      </c>
      <c r="C21" s="2">
        <v>15</v>
      </c>
      <c r="D21" s="3">
        <v>15</v>
      </c>
      <c r="E21" s="2">
        <v>15</v>
      </c>
      <c r="F21" s="2">
        <v>31</v>
      </c>
      <c r="G21" s="2">
        <v>31</v>
      </c>
      <c r="H21" s="3">
        <v>15</v>
      </c>
      <c r="I21" s="2">
        <v>41</v>
      </c>
      <c r="J21" s="2">
        <v>15</v>
      </c>
      <c r="K21" s="2">
        <v>15</v>
      </c>
      <c r="L21" s="3">
        <v>15</v>
      </c>
      <c r="M21" s="2">
        <v>15</v>
      </c>
      <c r="N21" s="2">
        <v>59</v>
      </c>
      <c r="O21" s="2">
        <v>31</v>
      </c>
      <c r="P21" s="2">
        <v>15</v>
      </c>
      <c r="Q21" s="3">
        <v>15</v>
      </c>
      <c r="R21" s="2">
        <v>41</v>
      </c>
      <c r="S21" s="2">
        <v>15</v>
      </c>
      <c r="T21" s="2">
        <v>31</v>
      </c>
      <c r="U21" s="2">
        <v>41</v>
      </c>
      <c r="V21" s="2">
        <v>13</v>
      </c>
      <c r="W21" s="2">
        <v>19</v>
      </c>
      <c r="X21" s="2">
        <v>15</v>
      </c>
      <c r="Y21" s="2">
        <v>19</v>
      </c>
      <c r="Z21" s="2"/>
      <c r="AA21" s="2"/>
      <c r="AB21" s="2"/>
      <c r="AC21" s="2"/>
      <c r="AD21" s="2"/>
      <c r="AE21" s="2"/>
      <c r="AF21" s="2"/>
      <c r="AG21" s="2"/>
    </row>
    <row r="22" spans="1:33" x14ac:dyDescent="0.55000000000000004">
      <c r="A22" s="1">
        <v>38</v>
      </c>
      <c r="B22" s="2">
        <v>13</v>
      </c>
      <c r="C22" s="2">
        <v>3</v>
      </c>
      <c r="D22" s="3">
        <v>3</v>
      </c>
      <c r="E22" s="2">
        <v>3</v>
      </c>
      <c r="F22" s="2">
        <v>45</v>
      </c>
      <c r="G22" s="2">
        <v>45</v>
      </c>
      <c r="H22" s="3">
        <v>3</v>
      </c>
      <c r="I22" s="2">
        <v>57</v>
      </c>
      <c r="J22" s="2">
        <v>3</v>
      </c>
      <c r="K22" s="2">
        <v>3</v>
      </c>
      <c r="L22" s="2">
        <v>3</v>
      </c>
      <c r="M22" s="2">
        <v>45</v>
      </c>
      <c r="N22" s="2">
        <v>3</v>
      </c>
      <c r="O22" s="2">
        <v>27</v>
      </c>
      <c r="P22" s="2">
        <v>27</v>
      </c>
      <c r="Q22" s="2">
        <v>45</v>
      </c>
      <c r="R22" s="2">
        <v>3</v>
      </c>
      <c r="S22" s="2">
        <v>3</v>
      </c>
      <c r="T22" s="2">
        <v>45</v>
      </c>
      <c r="U22" s="2">
        <v>3</v>
      </c>
      <c r="V22" s="2">
        <v>13</v>
      </c>
      <c r="W22" s="2">
        <v>45</v>
      </c>
      <c r="X22" s="2">
        <v>3</v>
      </c>
      <c r="Y22" s="2">
        <v>45</v>
      </c>
      <c r="Z22" s="2"/>
      <c r="AA22" s="2"/>
      <c r="AB22" s="2"/>
      <c r="AC22" s="2"/>
      <c r="AD22" s="2"/>
      <c r="AE22" s="2"/>
      <c r="AF22" s="2"/>
      <c r="AG22" s="2"/>
    </row>
    <row r="23" spans="1:33" x14ac:dyDescent="0.55000000000000004">
      <c r="A23" s="1">
        <v>40</v>
      </c>
      <c r="B23" s="2">
        <v>49</v>
      </c>
      <c r="C23" s="2">
        <v>5</v>
      </c>
      <c r="D23" s="3">
        <v>5</v>
      </c>
      <c r="E23" s="2">
        <v>5</v>
      </c>
      <c r="F23" s="2">
        <v>53</v>
      </c>
      <c r="G23" s="2">
        <v>53</v>
      </c>
      <c r="H23" s="2">
        <v>49</v>
      </c>
      <c r="I23" s="2">
        <v>21</v>
      </c>
      <c r="J23" s="2">
        <v>21</v>
      </c>
      <c r="K23" s="2">
        <v>5</v>
      </c>
      <c r="L23" s="2">
        <v>49</v>
      </c>
      <c r="M23" s="2">
        <v>21</v>
      </c>
      <c r="N23" s="2">
        <v>5</v>
      </c>
      <c r="O23" s="2">
        <v>41</v>
      </c>
      <c r="P23" s="2">
        <v>5</v>
      </c>
      <c r="Q23" s="3">
        <v>5</v>
      </c>
      <c r="R23" s="2">
        <v>41</v>
      </c>
      <c r="S23" s="2">
        <v>7</v>
      </c>
      <c r="T23" s="2">
        <v>5</v>
      </c>
      <c r="U23" s="2">
        <v>5</v>
      </c>
      <c r="V23" s="2">
        <v>49</v>
      </c>
      <c r="W23" s="2">
        <v>19</v>
      </c>
      <c r="X23" s="2">
        <v>5</v>
      </c>
      <c r="Y23" s="2">
        <v>19</v>
      </c>
      <c r="Z23" s="2"/>
      <c r="AA23" s="2"/>
      <c r="AB23" s="2"/>
      <c r="AC23" s="2"/>
      <c r="AD23" s="2"/>
      <c r="AE23" s="2"/>
      <c r="AF23" s="2"/>
      <c r="AG23" s="2"/>
    </row>
    <row r="24" spans="1:33" x14ac:dyDescent="0.55000000000000004">
      <c r="A24" s="1">
        <v>42</v>
      </c>
      <c r="B24" s="2">
        <v>49</v>
      </c>
      <c r="C24" s="2">
        <v>59</v>
      </c>
      <c r="D24" s="3">
        <v>5</v>
      </c>
      <c r="E24" s="2">
        <v>5</v>
      </c>
      <c r="F24" s="2">
        <v>31</v>
      </c>
      <c r="G24" s="2">
        <v>49</v>
      </c>
      <c r="H24" s="2">
        <v>49</v>
      </c>
      <c r="I24" s="2">
        <v>57</v>
      </c>
      <c r="J24" s="2">
        <v>5</v>
      </c>
      <c r="K24" s="2">
        <v>5</v>
      </c>
      <c r="L24" s="2">
        <v>49</v>
      </c>
      <c r="M24" s="2">
        <v>5</v>
      </c>
      <c r="N24" s="2">
        <v>59</v>
      </c>
      <c r="O24" s="2">
        <v>5</v>
      </c>
      <c r="P24" s="2">
        <v>27</v>
      </c>
      <c r="Q24" s="3">
        <v>5</v>
      </c>
      <c r="R24" s="2">
        <v>5</v>
      </c>
      <c r="S24" s="2">
        <v>5</v>
      </c>
      <c r="T24" s="2">
        <v>31</v>
      </c>
      <c r="U24" s="2">
        <v>49</v>
      </c>
      <c r="V24" s="2">
        <v>49</v>
      </c>
      <c r="W24" s="2">
        <v>5</v>
      </c>
      <c r="X24" s="2">
        <v>5</v>
      </c>
      <c r="Y24" s="2">
        <v>49</v>
      </c>
      <c r="Z24" s="2"/>
      <c r="AA24" s="2"/>
      <c r="AB24" s="2"/>
      <c r="AC24" s="2"/>
      <c r="AD24" s="2"/>
      <c r="AE24" s="2"/>
      <c r="AF24" s="2"/>
      <c r="AG24" s="2"/>
    </row>
    <row r="25" spans="1:33" x14ac:dyDescent="0.55000000000000004">
      <c r="A25" s="1">
        <v>44</v>
      </c>
      <c r="B25" s="2">
        <v>15</v>
      </c>
      <c r="C25" s="2">
        <v>15</v>
      </c>
      <c r="D25" s="2">
        <v>45</v>
      </c>
      <c r="E25" s="2">
        <v>15</v>
      </c>
      <c r="F25" s="2">
        <v>45</v>
      </c>
      <c r="G25" s="2">
        <v>15</v>
      </c>
      <c r="H25" s="3">
        <v>15</v>
      </c>
      <c r="I25" s="2">
        <v>57</v>
      </c>
      <c r="J25" s="2">
        <v>15</v>
      </c>
      <c r="K25" s="2">
        <v>15</v>
      </c>
      <c r="L25" s="3">
        <v>15</v>
      </c>
      <c r="M25" s="2">
        <v>15</v>
      </c>
      <c r="N25" s="2">
        <v>59</v>
      </c>
      <c r="O25" s="2">
        <v>15</v>
      </c>
      <c r="P25" s="2">
        <v>15</v>
      </c>
      <c r="Q25" s="2">
        <v>45</v>
      </c>
      <c r="R25" s="2">
        <v>15</v>
      </c>
      <c r="S25" s="2">
        <v>55</v>
      </c>
      <c r="T25" s="2">
        <v>45</v>
      </c>
      <c r="U25" s="2">
        <v>15</v>
      </c>
      <c r="V25" s="2">
        <v>15</v>
      </c>
      <c r="W25" s="2">
        <v>45</v>
      </c>
      <c r="X25" s="2">
        <v>15</v>
      </c>
      <c r="Y25" s="2">
        <v>45</v>
      </c>
      <c r="Z25" s="2"/>
      <c r="AA25" s="2"/>
      <c r="AB25" s="2"/>
      <c r="AC25" s="2"/>
      <c r="AD25" s="2"/>
      <c r="AE25" s="2"/>
      <c r="AF25" s="2"/>
      <c r="AG25" s="2"/>
    </row>
    <row r="26" spans="1:33" x14ac:dyDescent="0.55000000000000004">
      <c r="A26" s="1">
        <v>46</v>
      </c>
      <c r="B26" s="2">
        <v>27</v>
      </c>
      <c r="C26" s="2">
        <v>43</v>
      </c>
      <c r="D26" s="3">
        <v>43</v>
      </c>
      <c r="E26" s="2">
        <v>43</v>
      </c>
      <c r="F26" s="2">
        <v>43</v>
      </c>
      <c r="G26" s="3">
        <v>31</v>
      </c>
      <c r="H26" s="3">
        <v>43</v>
      </c>
      <c r="I26" s="2">
        <v>43</v>
      </c>
      <c r="J26" s="2">
        <v>43</v>
      </c>
      <c r="K26" s="2">
        <v>43</v>
      </c>
      <c r="L26" s="2">
        <v>43</v>
      </c>
      <c r="M26" s="2">
        <v>41</v>
      </c>
      <c r="N26" s="2">
        <v>43</v>
      </c>
      <c r="O26" s="3">
        <v>31</v>
      </c>
      <c r="P26" s="2">
        <v>27</v>
      </c>
      <c r="Q26" s="2">
        <v>43</v>
      </c>
      <c r="R26" s="2">
        <v>27</v>
      </c>
      <c r="S26" s="2">
        <v>7</v>
      </c>
      <c r="T26" s="2">
        <v>43</v>
      </c>
      <c r="U26" s="2">
        <v>43</v>
      </c>
      <c r="V26" s="2">
        <v>27</v>
      </c>
      <c r="W26" s="2">
        <v>27</v>
      </c>
      <c r="X26" s="2">
        <v>43</v>
      </c>
      <c r="Y26" s="2">
        <v>19</v>
      </c>
      <c r="Z26" s="2"/>
      <c r="AA26" s="2"/>
      <c r="AB26" s="2"/>
      <c r="AC26" s="2"/>
      <c r="AD26" s="2"/>
      <c r="AE26" s="2"/>
      <c r="AF26" s="2"/>
      <c r="AG26" s="2"/>
    </row>
    <row r="27" spans="1:33" x14ac:dyDescent="0.55000000000000004">
      <c r="A27" s="1">
        <v>48</v>
      </c>
      <c r="B27" s="2">
        <v>13</v>
      </c>
      <c r="C27" s="2">
        <v>59</v>
      </c>
      <c r="D27" s="2">
        <v>45</v>
      </c>
      <c r="E27" s="2">
        <v>3</v>
      </c>
      <c r="F27" s="2">
        <v>45</v>
      </c>
      <c r="G27" s="2">
        <v>45</v>
      </c>
      <c r="H27" s="2">
        <v>49</v>
      </c>
      <c r="I27" s="2">
        <v>57</v>
      </c>
      <c r="J27" s="2">
        <v>3</v>
      </c>
      <c r="K27" s="2">
        <v>3</v>
      </c>
      <c r="L27" s="2">
        <v>49</v>
      </c>
      <c r="M27" s="2">
        <v>17</v>
      </c>
      <c r="N27" s="2">
        <v>59</v>
      </c>
      <c r="O27" s="2">
        <v>3</v>
      </c>
      <c r="P27" s="2">
        <v>3</v>
      </c>
      <c r="Q27" s="2">
        <v>17</v>
      </c>
      <c r="R27" s="2">
        <v>51</v>
      </c>
      <c r="S27" s="2">
        <v>55</v>
      </c>
      <c r="T27" s="2">
        <v>45</v>
      </c>
      <c r="U27" s="2">
        <v>5</v>
      </c>
      <c r="V27" s="2">
        <v>49</v>
      </c>
      <c r="W27" s="2">
        <v>45</v>
      </c>
      <c r="X27" s="2">
        <v>3</v>
      </c>
      <c r="Y27" s="2">
        <v>49</v>
      </c>
      <c r="Z27" s="2"/>
      <c r="AA27" s="2"/>
      <c r="AB27" s="2"/>
      <c r="AC27" s="2"/>
      <c r="AD27" s="2"/>
      <c r="AE27" s="2"/>
      <c r="AF27" s="2"/>
      <c r="AG27" s="2"/>
    </row>
    <row r="28" spans="1:33" x14ac:dyDescent="0.55000000000000004">
      <c r="A28" s="1">
        <v>50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>
        <v>45</v>
      </c>
      <c r="AA28" s="2">
        <v>21</v>
      </c>
      <c r="AB28" s="2">
        <v>53</v>
      </c>
      <c r="AC28" s="2">
        <v>39</v>
      </c>
      <c r="AD28" s="2">
        <v>39</v>
      </c>
      <c r="AE28" s="2">
        <v>13</v>
      </c>
      <c r="AF28" s="2">
        <v>39</v>
      </c>
      <c r="AG28" s="2">
        <v>7</v>
      </c>
    </row>
    <row r="29" spans="1:33" x14ac:dyDescent="0.55000000000000004">
      <c r="A29" s="1">
        <v>52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>
        <v>23</v>
      </c>
      <c r="AA29" s="2">
        <v>61</v>
      </c>
      <c r="AB29" s="2">
        <v>33</v>
      </c>
      <c r="AC29" s="2">
        <v>61</v>
      </c>
      <c r="AD29" s="2">
        <v>33</v>
      </c>
      <c r="AE29" s="2">
        <v>33</v>
      </c>
      <c r="AF29" s="2">
        <v>61</v>
      </c>
      <c r="AG29" s="2">
        <v>35</v>
      </c>
    </row>
    <row r="30" spans="1:33" x14ac:dyDescent="0.55000000000000004">
      <c r="A30" s="1">
        <v>54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>
        <v>9</v>
      </c>
      <c r="AA30" s="2">
        <v>9</v>
      </c>
      <c r="AB30" s="2">
        <v>45</v>
      </c>
      <c r="AC30" s="2">
        <v>9</v>
      </c>
      <c r="AD30" s="2">
        <v>47</v>
      </c>
      <c r="AE30" s="2">
        <v>13</v>
      </c>
      <c r="AF30" s="2">
        <v>57</v>
      </c>
      <c r="AG30" s="2">
        <v>9</v>
      </c>
    </row>
    <row r="31" spans="1:33" x14ac:dyDescent="0.55000000000000004">
      <c r="A31" s="1">
        <v>56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>
        <v>17</v>
      </c>
      <c r="AA31" s="2">
        <v>57</v>
      </c>
      <c r="AB31" s="2">
        <v>17</v>
      </c>
      <c r="AC31" s="2">
        <v>17</v>
      </c>
      <c r="AD31" s="2">
        <v>47</v>
      </c>
      <c r="AE31" s="2">
        <v>57</v>
      </c>
      <c r="AF31" s="2">
        <v>57</v>
      </c>
      <c r="AG31" s="2">
        <v>17</v>
      </c>
    </row>
    <row r="32" spans="1:33" x14ac:dyDescent="0.55000000000000004">
      <c r="A32" s="1">
        <v>58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>
        <v>41</v>
      </c>
      <c r="AA32" s="2">
        <v>5</v>
      </c>
      <c r="AB32" s="2">
        <v>35</v>
      </c>
      <c r="AC32" s="2">
        <v>57</v>
      </c>
      <c r="AD32" s="2">
        <v>5</v>
      </c>
      <c r="AE32" s="2">
        <v>5</v>
      </c>
      <c r="AF32" s="2">
        <v>57</v>
      </c>
      <c r="AG32" s="2">
        <v>57</v>
      </c>
    </row>
    <row r="33" spans="1:33" x14ac:dyDescent="0.55000000000000004">
      <c r="A33" s="1">
        <v>60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>
        <v>11</v>
      </c>
      <c r="AA33" s="2">
        <v>11</v>
      </c>
      <c r="AB33" s="2">
        <v>11</v>
      </c>
      <c r="AC33" s="2">
        <v>57</v>
      </c>
      <c r="AD33" s="2">
        <v>11</v>
      </c>
      <c r="AE33" s="2">
        <v>11</v>
      </c>
      <c r="AF33" s="2">
        <v>57</v>
      </c>
      <c r="AG33" s="2">
        <v>35</v>
      </c>
    </row>
    <row r="34" spans="1:33" x14ac:dyDescent="0.55000000000000004">
      <c r="A34" s="1">
        <v>62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>
        <v>19</v>
      </c>
      <c r="AA34" s="2">
        <v>57</v>
      </c>
      <c r="AB34" s="2">
        <v>35</v>
      </c>
      <c r="AC34" s="2">
        <v>57</v>
      </c>
      <c r="AD34" s="2">
        <v>57</v>
      </c>
      <c r="AE34" s="2">
        <v>57</v>
      </c>
      <c r="AF34" s="2">
        <v>57</v>
      </c>
      <c r="AG34" s="2">
        <v>57</v>
      </c>
    </row>
    <row r="35" spans="1:33" x14ac:dyDescent="0.55000000000000004">
      <c r="A35" s="1">
        <v>64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>
        <v>19</v>
      </c>
      <c r="AA35" s="2">
        <v>57</v>
      </c>
      <c r="AB35" s="2">
        <v>3</v>
      </c>
      <c r="AC35" s="2">
        <v>3</v>
      </c>
      <c r="AD35" s="2">
        <v>57</v>
      </c>
      <c r="AE35" s="2">
        <v>47</v>
      </c>
      <c r="AF35" s="2">
        <v>57</v>
      </c>
      <c r="AG35" s="2">
        <v>3</v>
      </c>
    </row>
  </sheetData>
  <mergeCells count="1">
    <mergeCell ref="B1:AG1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8199C-2D10-4AB5-96EA-055A83148798}">
  <sheetPr codeName="Tabelle2"/>
  <dimension ref="A1:D3842"/>
  <sheetViews>
    <sheetView tabSelected="1" topLeftCell="A649" workbookViewId="0">
      <selection activeCell="B141" sqref="B141"/>
    </sheetView>
  </sheetViews>
  <sheetFormatPr baseColWidth="10" defaultRowHeight="14.4" x14ac:dyDescent="0.55000000000000004"/>
  <cols>
    <col min="1" max="1" width="18.05078125" bestFit="1" customWidth="1"/>
  </cols>
  <sheetData>
    <row r="1" spans="1:4" x14ac:dyDescent="0.55000000000000004">
      <c r="A1" t="s">
        <v>3</v>
      </c>
      <c r="D1" t="str">
        <f>A1</f>
        <v>{</v>
      </c>
    </row>
    <row r="2" spans="1:4" x14ac:dyDescent="0.55000000000000004">
      <c r="A2" t="s">
        <v>766</v>
      </c>
      <c r="D2" t="str">
        <f>A2</f>
        <v xml:space="preserve">  "2-2": {</v>
      </c>
    </row>
    <row r="3" spans="1:4" x14ac:dyDescent="0.55000000000000004">
      <c r="A3" t="s">
        <v>5</v>
      </c>
      <c r="B3">
        <v>49</v>
      </c>
      <c r="D3" t="str">
        <f>A3&amp;","</f>
        <v xml:space="preserve">    "resultPage": 5,</v>
      </c>
    </row>
    <row r="4" spans="1:4" x14ac:dyDescent="0.55000000000000004">
      <c r="A4" t="s">
        <v>763</v>
      </c>
      <c r="B4" t="str">
        <f>VLOOKUP(B3,Tabelle3!$A$2:$E$33,3,FALSE)</f>
        <v>Parrying Low</v>
      </c>
      <c r="C4" t="s">
        <v>762</v>
      </c>
      <c r="D4" t="str">
        <f>_xlfn.CONCAT(A4:C4)</f>
        <v xml:space="preserve">    "message":  "Parrying Low",</v>
      </c>
    </row>
    <row r="5" spans="1:4" x14ac:dyDescent="0.55000000000000004">
      <c r="A5" t="s">
        <v>764</v>
      </c>
      <c r="B5" t="str">
        <f>VLOOKUP(B3,Tabelle3!$A$2:$E$33,5,FALSE)</f>
        <v/>
      </c>
      <c r="C5" t="s">
        <v>762</v>
      </c>
      <c r="D5" t="str">
        <f t="shared" ref="D5" si="0">_xlfn.CONCAT(A5:C5)</f>
        <v xml:space="preserve">    "nextInstruction":  "",</v>
      </c>
    </row>
    <row r="6" spans="1:4" x14ac:dyDescent="0.55000000000000004">
      <c r="A6" t="s">
        <v>765</v>
      </c>
      <c r="B6">
        <f>VLOOKUP(B3,Tabelle3!$A$2:$E$33,4,FALSE)</f>
        <v>-4</v>
      </c>
      <c r="D6" t="str">
        <f>IF(ISNUMBER(B6),(A6&amp;B6),"")</f>
        <v xml:space="preserve">    "damageModifier": -4</v>
      </c>
    </row>
    <row r="7" spans="1:4" x14ac:dyDescent="0.55000000000000004">
      <c r="A7" t="s">
        <v>6</v>
      </c>
      <c r="D7" t="str">
        <f>A7</f>
        <v xml:space="preserve">  },</v>
      </c>
    </row>
    <row r="8" spans="1:4" x14ac:dyDescent="0.55000000000000004">
      <c r="A8" t="s">
        <v>767</v>
      </c>
      <c r="D8" t="str">
        <f>A8</f>
        <v xml:space="preserve">  "4-2": {</v>
      </c>
    </row>
    <row r="9" spans="1:4" x14ac:dyDescent="0.55000000000000004">
      <c r="A9" t="s">
        <v>5</v>
      </c>
      <c r="B9">
        <v>63</v>
      </c>
      <c r="D9" t="str">
        <f>A9&amp;","</f>
        <v xml:space="preserve">    "resultPage": 5,</v>
      </c>
    </row>
    <row r="10" spans="1:4" x14ac:dyDescent="0.55000000000000004">
      <c r="A10" t="s">
        <v>763</v>
      </c>
      <c r="B10" t="str">
        <f>VLOOKUP(B9,Tabelle3!$A$2:$E$33,3,FALSE)</f>
        <v>Blocking Low</v>
      </c>
      <c r="C10" t="s">
        <v>762</v>
      </c>
      <c r="D10" t="str">
        <f>_xlfn.CONCAT(A10:C10)</f>
        <v xml:space="preserve">    "message":  "Blocking Low",</v>
      </c>
    </row>
    <row r="11" spans="1:4" x14ac:dyDescent="0.55000000000000004">
      <c r="A11" t="s">
        <v>764</v>
      </c>
      <c r="B11" t="str">
        <f>VLOOKUP(B9,Tabelle3!$A$2:$E$33,5,FALSE)</f>
        <v>No Orange</v>
      </c>
      <c r="C11" t="s">
        <v>762</v>
      </c>
      <c r="D11" t="str">
        <f t="shared" ref="D11" si="1">_xlfn.CONCAT(A11:C11)</f>
        <v xml:space="preserve">    "nextInstruction":  "No Orange",</v>
      </c>
    </row>
    <row r="12" spans="1:4" x14ac:dyDescent="0.55000000000000004">
      <c r="A12" t="s">
        <v>765</v>
      </c>
      <c r="B12">
        <f>VLOOKUP(B9,Tabelle3!$A$2:$E$33,4,FALSE)</f>
        <v>-4</v>
      </c>
      <c r="D12" t="str">
        <f>IF(ISNUMBER(B12),(A12&amp;B12),"")</f>
        <v xml:space="preserve">    "damageModifier": -4</v>
      </c>
    </row>
    <row r="13" spans="1:4" x14ac:dyDescent="0.55000000000000004">
      <c r="A13" t="s">
        <v>6</v>
      </c>
      <c r="D13" t="str">
        <f>A13</f>
        <v xml:space="preserve">  },</v>
      </c>
    </row>
    <row r="14" spans="1:4" x14ac:dyDescent="0.55000000000000004">
      <c r="A14" t="s">
        <v>768</v>
      </c>
      <c r="D14" t="str">
        <f t="shared" ref="D14:D77" si="2">A14</f>
        <v xml:space="preserve">  "6-2": {</v>
      </c>
    </row>
    <row r="15" spans="1:4" x14ac:dyDescent="0.55000000000000004">
      <c r="A15" t="s">
        <v>5</v>
      </c>
      <c r="B15">
        <v>13</v>
      </c>
      <c r="D15" t="str">
        <f t="shared" ref="D15:D78" si="3">A15&amp;","</f>
        <v xml:space="preserve">    "resultPage": 5,</v>
      </c>
    </row>
    <row r="16" spans="1:4" x14ac:dyDescent="0.55000000000000004">
      <c r="A16" t="s">
        <v>763</v>
      </c>
      <c r="B16" t="str">
        <f>VLOOKUP(B15,Tabelle3!$A$2:$E$33,3,FALSE)</f>
        <v>Leg Wound</v>
      </c>
      <c r="C16" t="s">
        <v>762</v>
      </c>
      <c r="D16" t="str">
        <f t="shared" ref="D16:D17" si="4">_xlfn.CONCAT(A16:C16)</f>
        <v xml:space="preserve">    "message":  "Leg Wound",</v>
      </c>
    </row>
    <row r="17" spans="1:4" x14ac:dyDescent="0.55000000000000004">
      <c r="A17" t="s">
        <v>764</v>
      </c>
      <c r="B17" t="str">
        <f>VLOOKUP(B15,Tabelle3!$A$2:$E$33,5,FALSE)</f>
        <v>No Orange</v>
      </c>
      <c r="C17" t="s">
        <v>762</v>
      </c>
      <c r="D17" t="str">
        <f t="shared" si="4"/>
        <v xml:space="preserve">    "nextInstruction":  "No Orange",</v>
      </c>
    </row>
    <row r="18" spans="1:4" x14ac:dyDescent="0.55000000000000004">
      <c r="A18" t="s">
        <v>765</v>
      </c>
      <c r="B18">
        <f>VLOOKUP(B15,Tabelle3!$A$2:$E$33,4,FALSE)</f>
        <v>4</v>
      </c>
      <c r="D18" t="str">
        <f t="shared" ref="D18:D81" si="5">IF(ISNUMBER(B18),(A18&amp;B18),"")</f>
        <v xml:space="preserve">    "damageModifier": 4</v>
      </c>
    </row>
    <row r="19" spans="1:4" x14ac:dyDescent="0.55000000000000004">
      <c r="A19" t="s">
        <v>6</v>
      </c>
      <c r="D19" t="str">
        <f t="shared" ref="D19:D82" si="6">A19</f>
        <v xml:space="preserve">  },</v>
      </c>
    </row>
    <row r="20" spans="1:4" x14ac:dyDescent="0.55000000000000004">
      <c r="A20" t="s">
        <v>769</v>
      </c>
      <c r="D20" t="str">
        <f t="shared" si="6"/>
        <v xml:space="preserve">  "8-2": {</v>
      </c>
    </row>
    <row r="21" spans="1:4" x14ac:dyDescent="0.55000000000000004">
      <c r="A21" t="s">
        <v>5</v>
      </c>
      <c r="B21">
        <v>19</v>
      </c>
      <c r="D21" t="str">
        <f t="shared" ref="D21:D84" si="7">A21&amp;","</f>
        <v xml:space="preserve">    "resultPage": 5,</v>
      </c>
    </row>
    <row r="22" spans="1:4" x14ac:dyDescent="0.55000000000000004">
      <c r="A22" t="s">
        <v>763</v>
      </c>
      <c r="B22" t="str">
        <f>VLOOKUP(B21,Tabelle3!$A$2:$E$33,3,FALSE)</f>
        <v>Struck off Balance</v>
      </c>
      <c r="C22" t="s">
        <v>762</v>
      </c>
      <c r="D22" t="str">
        <f t="shared" ref="D22:D23" si="8">_xlfn.CONCAT(A22:C22)</f>
        <v xml:space="preserve">    "message":  "Struck off Balance",</v>
      </c>
    </row>
    <row r="23" spans="1:4" x14ac:dyDescent="0.55000000000000004">
      <c r="A23" t="s">
        <v>764</v>
      </c>
      <c r="B23" t="str">
        <f>VLOOKUP(B21,Tabelle3!$A$2:$E$33,5,FALSE)</f>
        <v>Only Green Only Yellow</v>
      </c>
      <c r="C23" t="s">
        <v>762</v>
      </c>
      <c r="D23" t="str">
        <f t="shared" si="8"/>
        <v xml:space="preserve">    "nextInstruction":  "Only Green Only Yellow",</v>
      </c>
    </row>
    <row r="24" spans="1:4" x14ac:dyDescent="0.55000000000000004">
      <c r="A24" t="s">
        <v>765</v>
      </c>
      <c r="B24">
        <f>VLOOKUP(B21,Tabelle3!$A$2:$E$33,4,FALSE)</f>
        <v>0</v>
      </c>
      <c r="D24" t="str">
        <f t="shared" ref="D24:D87" si="9">IF(ISNUMBER(B24),(A24&amp;B24),"")</f>
        <v xml:space="preserve">    "damageModifier": 0</v>
      </c>
    </row>
    <row r="25" spans="1:4" x14ac:dyDescent="0.55000000000000004">
      <c r="A25" t="s">
        <v>6</v>
      </c>
      <c r="D25" t="str">
        <f t="shared" ref="D25:D88" si="10">A25</f>
        <v xml:space="preserve">  },</v>
      </c>
    </row>
    <row r="26" spans="1:4" x14ac:dyDescent="0.55000000000000004">
      <c r="A26" t="s">
        <v>770</v>
      </c>
      <c r="D26" t="str">
        <f t="shared" si="10"/>
        <v xml:space="preserve">  "10-2": {</v>
      </c>
    </row>
    <row r="27" spans="1:4" x14ac:dyDescent="0.55000000000000004">
      <c r="A27" t="s">
        <v>10</v>
      </c>
      <c r="B27">
        <v>13</v>
      </c>
      <c r="D27" t="str">
        <f t="shared" ref="D27:D90" si="11">A27&amp;","</f>
        <v xml:space="preserve">    "resultPage": 31,</v>
      </c>
    </row>
    <row r="28" spans="1:4" x14ac:dyDescent="0.55000000000000004">
      <c r="A28" t="s">
        <v>763</v>
      </c>
      <c r="B28" t="str">
        <f>VLOOKUP(B27,Tabelle3!$A$2:$E$33,3,FALSE)</f>
        <v>Leg Wound</v>
      </c>
      <c r="C28" t="s">
        <v>762</v>
      </c>
      <c r="D28" t="str">
        <f t="shared" ref="D28:D29" si="12">_xlfn.CONCAT(A28:C28)</f>
        <v xml:space="preserve">    "message":  "Leg Wound",</v>
      </c>
    </row>
    <row r="29" spans="1:4" x14ac:dyDescent="0.55000000000000004">
      <c r="A29" t="s">
        <v>764</v>
      </c>
      <c r="B29" t="str">
        <f>VLOOKUP(B27,Tabelle3!$A$2:$E$33,5,FALSE)</f>
        <v>No Orange</v>
      </c>
      <c r="C29" t="s">
        <v>762</v>
      </c>
      <c r="D29" t="str">
        <f t="shared" si="12"/>
        <v xml:space="preserve">    "nextInstruction":  "No Orange",</v>
      </c>
    </row>
    <row r="30" spans="1:4" x14ac:dyDescent="0.55000000000000004">
      <c r="A30" t="s">
        <v>765</v>
      </c>
      <c r="B30">
        <f>VLOOKUP(B27,Tabelle3!$A$2:$E$33,4,FALSE)</f>
        <v>4</v>
      </c>
      <c r="D30" t="str">
        <f t="shared" ref="D30:D93" si="13">IF(ISNUMBER(B30),(A30&amp;B30),"")</f>
        <v xml:space="preserve">    "damageModifier": 4</v>
      </c>
    </row>
    <row r="31" spans="1:4" x14ac:dyDescent="0.55000000000000004">
      <c r="A31" t="s">
        <v>6</v>
      </c>
      <c r="D31" t="str">
        <f t="shared" ref="D31:D94" si="14">A31</f>
        <v xml:space="preserve">  },</v>
      </c>
    </row>
    <row r="32" spans="1:4" x14ac:dyDescent="0.55000000000000004">
      <c r="A32" t="s">
        <v>771</v>
      </c>
      <c r="D32" t="str">
        <f t="shared" si="14"/>
        <v xml:space="preserve">  "12-2": {</v>
      </c>
    </row>
    <row r="33" spans="1:4" x14ac:dyDescent="0.55000000000000004">
      <c r="A33" t="s">
        <v>10</v>
      </c>
      <c r="B33">
        <v>13</v>
      </c>
      <c r="D33" t="str">
        <f t="shared" ref="D33:D96" si="15">A33&amp;","</f>
        <v xml:space="preserve">    "resultPage": 31,</v>
      </c>
    </row>
    <row r="34" spans="1:4" x14ac:dyDescent="0.55000000000000004">
      <c r="A34" t="s">
        <v>763</v>
      </c>
      <c r="B34" t="str">
        <f>VLOOKUP(B33,Tabelle3!$A$2:$E$33,3,FALSE)</f>
        <v>Leg Wound</v>
      </c>
      <c r="C34" t="s">
        <v>762</v>
      </c>
      <c r="D34" t="str">
        <f t="shared" ref="D34:D35" si="16">_xlfn.CONCAT(A34:C34)</f>
        <v xml:space="preserve">    "message":  "Leg Wound",</v>
      </c>
    </row>
    <row r="35" spans="1:4" x14ac:dyDescent="0.55000000000000004">
      <c r="A35" t="s">
        <v>764</v>
      </c>
      <c r="B35" t="str">
        <f>VLOOKUP(B33,Tabelle3!$A$2:$E$33,5,FALSE)</f>
        <v>No Orange</v>
      </c>
      <c r="C35" t="s">
        <v>762</v>
      </c>
      <c r="D35" t="str">
        <f t="shared" si="16"/>
        <v xml:space="preserve">    "nextInstruction":  "No Orange",</v>
      </c>
    </row>
    <row r="36" spans="1:4" x14ac:dyDescent="0.55000000000000004">
      <c r="A36" t="s">
        <v>765</v>
      </c>
      <c r="B36">
        <f>VLOOKUP(B33,Tabelle3!$A$2:$E$33,4,FALSE)</f>
        <v>4</v>
      </c>
      <c r="D36" t="str">
        <f t="shared" ref="D36:D99" si="17">IF(ISNUMBER(B36),(A36&amp;B36),"")</f>
        <v xml:space="preserve">    "damageModifier": 4</v>
      </c>
    </row>
    <row r="37" spans="1:4" x14ac:dyDescent="0.55000000000000004">
      <c r="A37" t="s">
        <v>6</v>
      </c>
      <c r="D37" t="str">
        <f t="shared" ref="D37:D100" si="18">A37</f>
        <v xml:space="preserve">  },</v>
      </c>
    </row>
    <row r="38" spans="1:4" x14ac:dyDescent="0.55000000000000004">
      <c r="A38" t="s">
        <v>772</v>
      </c>
      <c r="D38" t="str">
        <f t="shared" si="18"/>
        <v xml:space="preserve">  "14-2": {</v>
      </c>
    </row>
    <row r="39" spans="1:4" x14ac:dyDescent="0.55000000000000004">
      <c r="A39" t="s">
        <v>13</v>
      </c>
      <c r="B39">
        <f t="shared" ref="B39" si="19">_xlfn.NUMBERVALUE(RIGHT(A39,2))</f>
        <v>49</v>
      </c>
      <c r="D39" t="str">
        <f t="shared" ref="D39:D102" si="20">A39&amp;","</f>
        <v xml:space="preserve">    "resultPage": 49,</v>
      </c>
    </row>
    <row r="40" spans="1:4" x14ac:dyDescent="0.55000000000000004">
      <c r="A40" t="s">
        <v>763</v>
      </c>
      <c r="B40" t="str">
        <f>VLOOKUP(B39,Tabelle3!$A$2:$E$33,3,FALSE)</f>
        <v>Parrying Low</v>
      </c>
      <c r="C40" t="s">
        <v>762</v>
      </c>
      <c r="D40" t="str">
        <f t="shared" ref="D40:D41" si="21">_xlfn.CONCAT(A40:C40)</f>
        <v xml:space="preserve">    "message":  "Parrying Low",</v>
      </c>
    </row>
    <row r="41" spans="1:4" x14ac:dyDescent="0.55000000000000004">
      <c r="A41" t="s">
        <v>764</v>
      </c>
      <c r="B41" t="str">
        <f>VLOOKUP(B39,Tabelle3!$A$2:$E$33,5,FALSE)</f>
        <v/>
      </c>
      <c r="C41" t="s">
        <v>762</v>
      </c>
      <c r="D41" t="str">
        <f t="shared" si="21"/>
        <v xml:space="preserve">    "nextInstruction":  "",</v>
      </c>
    </row>
    <row r="42" spans="1:4" x14ac:dyDescent="0.55000000000000004">
      <c r="A42" t="s">
        <v>765</v>
      </c>
      <c r="B42">
        <f>VLOOKUP(B39,Tabelle3!$A$2:$E$33,4,FALSE)</f>
        <v>-4</v>
      </c>
      <c r="D42" t="str">
        <f t="shared" ref="D42:D105" si="22">IF(ISNUMBER(B42),(A42&amp;B42),"")</f>
        <v xml:space="preserve">    "damageModifier": -4</v>
      </c>
    </row>
    <row r="43" spans="1:4" x14ac:dyDescent="0.55000000000000004">
      <c r="A43" t="s">
        <v>6</v>
      </c>
      <c r="D43" t="str">
        <f t="shared" ref="D43:D106" si="23">A43</f>
        <v xml:space="preserve">  },</v>
      </c>
    </row>
    <row r="44" spans="1:4" x14ac:dyDescent="0.55000000000000004">
      <c r="A44" t="s">
        <v>773</v>
      </c>
      <c r="D44" t="str">
        <f t="shared" si="23"/>
        <v xml:space="preserve">  "16-2": {</v>
      </c>
    </row>
    <row r="45" spans="1:4" x14ac:dyDescent="0.55000000000000004">
      <c r="A45" t="s">
        <v>15</v>
      </c>
      <c r="B45">
        <f t="shared" ref="B45" si="24">_xlfn.NUMBERVALUE(RIGHT(A45,2))</f>
        <v>57</v>
      </c>
      <c r="D45" t="str">
        <f t="shared" ref="D45:D108" si="25">A45&amp;","</f>
        <v xml:space="preserve">    "resultPage": 57,</v>
      </c>
    </row>
    <row r="46" spans="1:4" x14ac:dyDescent="0.55000000000000004">
      <c r="A46" t="s">
        <v>763</v>
      </c>
      <c r="B46" t="str">
        <f>VLOOKUP(B45,Tabelle3!$A$2:$E$33,3,FALSE)</f>
        <v>Extended Range Blocking</v>
      </c>
      <c r="C46" t="s">
        <v>762</v>
      </c>
      <c r="D46" t="str">
        <f t="shared" ref="D46:D47" si="26">_xlfn.CONCAT(A46:C46)</f>
        <v xml:space="preserve">    "message":  "Extended Range Blocking",</v>
      </c>
    </row>
    <row r="47" spans="1:4" x14ac:dyDescent="0.55000000000000004">
      <c r="A47" t="s">
        <v>764</v>
      </c>
      <c r="B47" t="str">
        <f>VLOOKUP(B45,Tabelle3!$A$2:$E$33,5,FALSE)</f>
        <v>Only Extended Range</v>
      </c>
      <c r="C47" t="s">
        <v>762</v>
      </c>
      <c r="D47" t="str">
        <f t="shared" si="26"/>
        <v xml:space="preserve">    "nextInstruction":  "Only Extended Range",</v>
      </c>
    </row>
    <row r="48" spans="1:4" x14ac:dyDescent="0.55000000000000004">
      <c r="A48" t="s">
        <v>765</v>
      </c>
      <c r="B48" t="str">
        <f>VLOOKUP(B45,Tabelle3!$A$2:$E$33,4,FALSE)</f>
        <v>""</v>
      </c>
      <c r="D48" t="str">
        <f t="shared" ref="D48:D111" si="27">IF(ISNUMBER(B48),(A48&amp;B48),"")</f>
        <v/>
      </c>
    </row>
    <row r="49" spans="1:4" x14ac:dyDescent="0.55000000000000004">
      <c r="A49" t="s">
        <v>6</v>
      </c>
      <c r="D49" t="str">
        <f t="shared" ref="D49:D112" si="28">A49</f>
        <v xml:space="preserve">  },</v>
      </c>
    </row>
    <row r="50" spans="1:4" x14ac:dyDescent="0.55000000000000004">
      <c r="A50" t="s">
        <v>774</v>
      </c>
      <c r="D50" t="str">
        <f t="shared" si="28"/>
        <v xml:space="preserve">  "18-2": {</v>
      </c>
    </row>
    <row r="51" spans="1:4" x14ac:dyDescent="0.55000000000000004">
      <c r="A51" t="s">
        <v>5</v>
      </c>
      <c r="B51">
        <v>37</v>
      </c>
      <c r="D51" t="str">
        <f t="shared" ref="D51:D114" si="29">A51&amp;","</f>
        <v xml:space="preserve">    "resultPage": 5,</v>
      </c>
    </row>
    <row r="52" spans="1:4" x14ac:dyDescent="0.55000000000000004">
      <c r="A52" t="s">
        <v>763</v>
      </c>
      <c r="B52" t="str">
        <f>VLOOKUP(B51,Tabelle3!$A$2:$E$33,3,FALSE)</f>
        <v>Jumping Up</v>
      </c>
      <c r="C52" t="s">
        <v>762</v>
      </c>
      <c r="D52" t="str">
        <f t="shared" ref="D52:D53" si="30">_xlfn.CONCAT(A52:C52)</f>
        <v xml:space="preserve">    "message":  "Jumping Up",</v>
      </c>
    </row>
    <row r="53" spans="1:4" x14ac:dyDescent="0.55000000000000004">
      <c r="A53" t="s">
        <v>764</v>
      </c>
      <c r="B53" t="str">
        <f>VLOOKUP(B51,Tabelle3!$A$2:$E$33,5,FALSE)</f>
        <v>No Blue Add + 2 to any Orange</v>
      </c>
      <c r="C53" t="s">
        <v>762</v>
      </c>
      <c r="D53" t="str">
        <f t="shared" si="30"/>
        <v xml:space="preserve">    "nextInstruction":  "No Blue Add + 2 to any Orange",</v>
      </c>
    </row>
    <row r="54" spans="1:4" x14ac:dyDescent="0.55000000000000004">
      <c r="A54" t="s">
        <v>765</v>
      </c>
      <c r="B54" t="str">
        <f>VLOOKUP(B51,Tabelle3!$A$2:$E$33,4,FALSE)</f>
        <v>""</v>
      </c>
      <c r="D54" t="str">
        <f t="shared" ref="D54:D117" si="31">IF(ISNUMBER(B54),(A54&amp;B54),"")</f>
        <v/>
      </c>
    </row>
    <row r="55" spans="1:4" x14ac:dyDescent="0.55000000000000004">
      <c r="A55" t="s">
        <v>6</v>
      </c>
      <c r="D55" t="str">
        <f t="shared" ref="D55:D118" si="32">A55</f>
        <v xml:space="preserve">  },</v>
      </c>
    </row>
    <row r="56" spans="1:4" x14ac:dyDescent="0.55000000000000004">
      <c r="A56" t="s">
        <v>775</v>
      </c>
      <c r="D56" t="str">
        <f t="shared" si="32"/>
        <v xml:space="preserve">  "20-2": {</v>
      </c>
    </row>
    <row r="57" spans="1:4" x14ac:dyDescent="0.55000000000000004">
      <c r="A57" t="s">
        <v>5</v>
      </c>
      <c r="B57">
        <v>19</v>
      </c>
      <c r="D57" t="str">
        <f t="shared" ref="D57:D120" si="33">A57&amp;","</f>
        <v xml:space="preserve">    "resultPage": 5,</v>
      </c>
    </row>
    <row r="58" spans="1:4" x14ac:dyDescent="0.55000000000000004">
      <c r="A58" t="s">
        <v>763</v>
      </c>
      <c r="B58" t="str">
        <f>VLOOKUP(B57,Tabelle3!$A$2:$E$33,3,FALSE)</f>
        <v>Struck off Balance</v>
      </c>
      <c r="C58" t="s">
        <v>762</v>
      </c>
      <c r="D58" t="str">
        <f t="shared" ref="D58:D59" si="34">_xlfn.CONCAT(A58:C58)</f>
        <v xml:space="preserve">    "message":  "Struck off Balance",</v>
      </c>
    </row>
    <row r="59" spans="1:4" x14ac:dyDescent="0.55000000000000004">
      <c r="A59" t="s">
        <v>764</v>
      </c>
      <c r="B59" t="str">
        <f>VLOOKUP(B57,Tabelle3!$A$2:$E$33,5,FALSE)</f>
        <v>Only Green Only Yellow</v>
      </c>
      <c r="C59" t="s">
        <v>762</v>
      </c>
      <c r="D59" t="str">
        <f t="shared" si="34"/>
        <v xml:space="preserve">    "nextInstruction":  "Only Green Only Yellow",</v>
      </c>
    </row>
    <row r="60" spans="1:4" x14ac:dyDescent="0.55000000000000004">
      <c r="A60" t="s">
        <v>765</v>
      </c>
      <c r="B60">
        <f>VLOOKUP(B57,Tabelle3!$A$2:$E$33,4,FALSE)</f>
        <v>0</v>
      </c>
      <c r="D60" t="str">
        <f t="shared" ref="D60:D123" si="35">IF(ISNUMBER(B60),(A60&amp;B60),"")</f>
        <v xml:space="preserve">    "damageModifier": 0</v>
      </c>
    </row>
    <row r="61" spans="1:4" x14ac:dyDescent="0.55000000000000004">
      <c r="A61" t="s">
        <v>6</v>
      </c>
      <c r="D61" t="str">
        <f t="shared" ref="D61:D124" si="36">A61</f>
        <v xml:space="preserve">  },</v>
      </c>
    </row>
    <row r="62" spans="1:4" x14ac:dyDescent="0.55000000000000004">
      <c r="A62" t="s">
        <v>776</v>
      </c>
      <c r="D62" t="str">
        <f t="shared" si="36"/>
        <v xml:space="preserve">  "22-2": {</v>
      </c>
    </row>
    <row r="63" spans="1:4" x14ac:dyDescent="0.55000000000000004">
      <c r="A63" t="s">
        <v>13</v>
      </c>
      <c r="B63">
        <f t="shared" ref="B63" si="37">_xlfn.NUMBERVALUE(RIGHT(A63,2))</f>
        <v>49</v>
      </c>
      <c r="D63" t="str">
        <f t="shared" ref="D63:D126" si="38">A63&amp;","</f>
        <v xml:space="preserve">    "resultPage": 49,</v>
      </c>
    </row>
    <row r="64" spans="1:4" x14ac:dyDescent="0.55000000000000004">
      <c r="A64" t="s">
        <v>763</v>
      </c>
      <c r="B64" t="str">
        <f>VLOOKUP(B63,Tabelle3!$A$2:$E$33,3,FALSE)</f>
        <v>Parrying Low</v>
      </c>
      <c r="C64" t="s">
        <v>762</v>
      </c>
      <c r="D64" t="str">
        <f t="shared" ref="D64:D65" si="39">_xlfn.CONCAT(A64:C64)</f>
        <v xml:space="preserve">    "message":  "Parrying Low",</v>
      </c>
    </row>
    <row r="65" spans="1:4" x14ac:dyDescent="0.55000000000000004">
      <c r="A65" t="s">
        <v>764</v>
      </c>
      <c r="B65" t="str">
        <f>VLOOKUP(B63,Tabelle3!$A$2:$E$33,5,FALSE)</f>
        <v/>
      </c>
      <c r="C65" t="s">
        <v>762</v>
      </c>
      <c r="D65" t="str">
        <f t="shared" si="39"/>
        <v xml:space="preserve">    "nextInstruction":  "",</v>
      </c>
    </row>
    <row r="66" spans="1:4" x14ac:dyDescent="0.55000000000000004">
      <c r="A66" t="s">
        <v>765</v>
      </c>
      <c r="B66">
        <f>VLOOKUP(B63,Tabelle3!$A$2:$E$33,4,FALSE)</f>
        <v>-4</v>
      </c>
      <c r="D66" t="str">
        <f t="shared" ref="D66:D129" si="40">IF(ISNUMBER(B66),(A66&amp;B66),"")</f>
        <v xml:space="preserve">    "damageModifier": -4</v>
      </c>
    </row>
    <row r="67" spans="1:4" x14ac:dyDescent="0.55000000000000004">
      <c r="A67" t="s">
        <v>6</v>
      </c>
      <c r="D67" t="str">
        <f t="shared" ref="D67:D130" si="41">A67</f>
        <v xml:space="preserve">  },</v>
      </c>
    </row>
    <row r="68" spans="1:4" x14ac:dyDescent="0.55000000000000004">
      <c r="A68" t="s">
        <v>777</v>
      </c>
      <c r="D68" t="str">
        <f t="shared" si="41"/>
        <v xml:space="preserve">  "24-2": {</v>
      </c>
    </row>
    <row r="69" spans="1:4" x14ac:dyDescent="0.55000000000000004">
      <c r="A69" t="s">
        <v>20</v>
      </c>
      <c r="B69">
        <v>13</v>
      </c>
      <c r="D69" t="str">
        <f t="shared" ref="D69:D132" si="42">A69&amp;","</f>
        <v xml:space="preserve">    "resultPage": 53,</v>
      </c>
    </row>
    <row r="70" spans="1:4" x14ac:dyDescent="0.55000000000000004">
      <c r="A70" t="s">
        <v>763</v>
      </c>
      <c r="B70" t="str">
        <f>VLOOKUP(B69,Tabelle3!$A$2:$E$33,3,FALSE)</f>
        <v>Leg Wound</v>
      </c>
      <c r="C70" t="s">
        <v>762</v>
      </c>
      <c r="D70" t="str">
        <f t="shared" ref="D70:D71" si="43">_xlfn.CONCAT(A70:C70)</f>
        <v xml:space="preserve">    "message":  "Leg Wound",</v>
      </c>
    </row>
    <row r="71" spans="1:4" x14ac:dyDescent="0.55000000000000004">
      <c r="A71" t="s">
        <v>764</v>
      </c>
      <c r="B71" t="str">
        <f>VLOOKUP(B69,Tabelle3!$A$2:$E$33,5,FALSE)</f>
        <v>No Orange</v>
      </c>
      <c r="C71" t="s">
        <v>762</v>
      </c>
      <c r="D71" t="str">
        <f t="shared" si="43"/>
        <v xml:space="preserve">    "nextInstruction":  "No Orange",</v>
      </c>
    </row>
    <row r="72" spans="1:4" x14ac:dyDescent="0.55000000000000004">
      <c r="A72" t="s">
        <v>765</v>
      </c>
      <c r="B72">
        <f>VLOOKUP(B69,Tabelle3!$A$2:$E$33,4,FALSE)</f>
        <v>4</v>
      </c>
      <c r="D72" t="str">
        <f t="shared" ref="D72:D135" si="44">IF(ISNUMBER(B72),(A72&amp;B72),"")</f>
        <v xml:space="preserve">    "damageModifier": 4</v>
      </c>
    </row>
    <row r="73" spans="1:4" x14ac:dyDescent="0.55000000000000004">
      <c r="A73" t="s">
        <v>6</v>
      </c>
      <c r="D73" t="str">
        <f t="shared" ref="D73:D136" si="45">A73</f>
        <v xml:space="preserve">  },</v>
      </c>
    </row>
    <row r="74" spans="1:4" x14ac:dyDescent="0.55000000000000004">
      <c r="A74" t="s">
        <v>789</v>
      </c>
      <c r="D74" t="str">
        <f t="shared" si="45"/>
        <v xml:space="preserve">  "26-2": {</v>
      </c>
    </row>
    <row r="75" spans="1:4" x14ac:dyDescent="0.55000000000000004">
      <c r="A75" t="s">
        <v>5</v>
      </c>
      <c r="B75">
        <v>13</v>
      </c>
      <c r="D75" t="str">
        <f t="shared" ref="D75:D138" si="46">A75&amp;","</f>
        <v xml:space="preserve">    "resultPage": 5,</v>
      </c>
    </row>
    <row r="76" spans="1:4" x14ac:dyDescent="0.55000000000000004">
      <c r="A76" t="s">
        <v>763</v>
      </c>
      <c r="B76" t="str">
        <f>VLOOKUP(B75,Tabelle3!$A$2:$E$33,3,FALSE)</f>
        <v>Leg Wound</v>
      </c>
      <c r="C76" t="s">
        <v>762</v>
      </c>
      <c r="D76" t="str">
        <f t="shared" ref="D76:D77" si="47">_xlfn.CONCAT(A76:C76)</f>
        <v xml:space="preserve">    "message":  "Leg Wound",</v>
      </c>
    </row>
    <row r="77" spans="1:4" x14ac:dyDescent="0.55000000000000004">
      <c r="A77" t="s">
        <v>764</v>
      </c>
      <c r="B77" t="str">
        <f>VLOOKUP(B75,Tabelle3!$A$2:$E$33,5,FALSE)</f>
        <v>No Orange</v>
      </c>
      <c r="C77" t="s">
        <v>762</v>
      </c>
      <c r="D77" t="str">
        <f t="shared" si="47"/>
        <v xml:space="preserve">    "nextInstruction":  "No Orange",</v>
      </c>
    </row>
    <row r="78" spans="1:4" x14ac:dyDescent="0.55000000000000004">
      <c r="A78" t="s">
        <v>765</v>
      </c>
      <c r="B78">
        <f>VLOOKUP(B75,Tabelle3!$A$2:$E$33,4,FALSE)</f>
        <v>4</v>
      </c>
      <c r="D78" t="str">
        <f t="shared" ref="D78:D141" si="48">IF(ISNUMBER(B78),(A78&amp;B78),"")</f>
        <v xml:space="preserve">    "damageModifier": 4</v>
      </c>
    </row>
    <row r="79" spans="1:4" x14ac:dyDescent="0.55000000000000004">
      <c r="A79" t="s">
        <v>6</v>
      </c>
      <c r="D79" t="str">
        <f t="shared" ref="D79:D142" si="49">A79</f>
        <v xml:space="preserve">  },</v>
      </c>
    </row>
    <row r="80" spans="1:4" x14ac:dyDescent="0.55000000000000004">
      <c r="A80" t="s">
        <v>778</v>
      </c>
      <c r="D80" t="str">
        <f t="shared" si="49"/>
        <v xml:space="preserve">  "28-2": {</v>
      </c>
    </row>
    <row r="81" spans="1:4" x14ac:dyDescent="0.55000000000000004">
      <c r="A81" t="s">
        <v>23</v>
      </c>
      <c r="B81">
        <v>13</v>
      </c>
      <c r="D81" t="str">
        <f t="shared" ref="D81:D144" si="50">A81&amp;","</f>
        <v xml:space="preserve">    "resultPage": 7,</v>
      </c>
    </row>
    <row r="82" spans="1:4" x14ac:dyDescent="0.55000000000000004">
      <c r="A82" t="s">
        <v>763</v>
      </c>
      <c r="B82" t="str">
        <f>VLOOKUP(B81,Tabelle3!$A$2:$E$33,3,FALSE)</f>
        <v>Leg Wound</v>
      </c>
      <c r="C82" t="s">
        <v>762</v>
      </c>
      <c r="D82" t="str">
        <f t="shared" ref="D82:D83" si="51">_xlfn.CONCAT(A82:C82)</f>
        <v xml:space="preserve">    "message":  "Leg Wound",</v>
      </c>
    </row>
    <row r="83" spans="1:4" x14ac:dyDescent="0.55000000000000004">
      <c r="A83" t="s">
        <v>764</v>
      </c>
      <c r="B83" t="str">
        <f>VLOOKUP(B81,Tabelle3!$A$2:$E$33,5,FALSE)</f>
        <v>No Orange</v>
      </c>
      <c r="C83" t="s">
        <v>762</v>
      </c>
      <c r="D83" t="str">
        <f t="shared" si="51"/>
        <v xml:space="preserve">    "nextInstruction":  "No Orange",</v>
      </c>
    </row>
    <row r="84" spans="1:4" x14ac:dyDescent="0.55000000000000004">
      <c r="A84" t="s">
        <v>765</v>
      </c>
      <c r="B84">
        <f>VLOOKUP(B81,Tabelle3!$A$2:$E$33,4,FALSE)</f>
        <v>4</v>
      </c>
      <c r="D84" t="str">
        <f t="shared" ref="D84:D145" si="52">IF(ISNUMBER(B84),(A84&amp;B84),"")</f>
        <v xml:space="preserve">    "damageModifier": 4</v>
      </c>
    </row>
    <row r="85" spans="1:4" x14ac:dyDescent="0.55000000000000004">
      <c r="A85" t="s">
        <v>6</v>
      </c>
      <c r="D85" t="str">
        <f t="shared" ref="D85:D145" si="53">A85</f>
        <v xml:space="preserve">  },</v>
      </c>
    </row>
    <row r="86" spans="1:4" x14ac:dyDescent="0.55000000000000004">
      <c r="A86" t="s">
        <v>779</v>
      </c>
      <c r="D86" t="str">
        <f t="shared" si="53"/>
        <v xml:space="preserve">  "30-2": {</v>
      </c>
    </row>
    <row r="87" spans="1:4" x14ac:dyDescent="0.55000000000000004">
      <c r="A87" t="s">
        <v>13</v>
      </c>
      <c r="B87">
        <f t="shared" ref="B87" si="54">_xlfn.NUMBERVALUE(RIGHT(A87,2))</f>
        <v>49</v>
      </c>
      <c r="D87" t="str">
        <f t="shared" ref="D87:D145" si="55">A87&amp;","</f>
        <v xml:space="preserve">    "resultPage": 49,</v>
      </c>
    </row>
    <row r="88" spans="1:4" x14ac:dyDescent="0.55000000000000004">
      <c r="A88" t="s">
        <v>763</v>
      </c>
      <c r="B88" t="str">
        <f>VLOOKUP(B87,Tabelle3!$A$2:$E$33,3,FALSE)</f>
        <v>Parrying Low</v>
      </c>
      <c r="C88" t="s">
        <v>762</v>
      </c>
      <c r="D88" t="str">
        <f t="shared" ref="D88:D89" si="56">_xlfn.CONCAT(A88:C88)</f>
        <v xml:space="preserve">    "message":  "Parrying Low",</v>
      </c>
    </row>
    <row r="89" spans="1:4" x14ac:dyDescent="0.55000000000000004">
      <c r="A89" t="s">
        <v>764</v>
      </c>
      <c r="B89" t="str">
        <f>VLOOKUP(B87,Tabelle3!$A$2:$E$33,5,FALSE)</f>
        <v/>
      </c>
      <c r="C89" t="s">
        <v>762</v>
      </c>
      <c r="D89" t="str">
        <f t="shared" si="56"/>
        <v xml:space="preserve">    "nextInstruction":  "",</v>
      </c>
    </row>
    <row r="90" spans="1:4" x14ac:dyDescent="0.55000000000000004">
      <c r="A90" t="s">
        <v>765</v>
      </c>
      <c r="B90">
        <f>VLOOKUP(B87,Tabelle3!$A$2:$E$33,4,FALSE)</f>
        <v>-4</v>
      </c>
      <c r="D90" t="str">
        <f t="shared" ref="D90:D145" si="57">IF(ISNUMBER(B90),(A90&amp;B90),"")</f>
        <v xml:space="preserve">    "damageModifier": -4</v>
      </c>
    </row>
    <row r="91" spans="1:4" x14ac:dyDescent="0.55000000000000004">
      <c r="A91" t="s">
        <v>6</v>
      </c>
      <c r="D91" t="str">
        <f t="shared" ref="D91:D145" si="58">A91</f>
        <v xml:space="preserve">  },</v>
      </c>
    </row>
    <row r="92" spans="1:4" x14ac:dyDescent="0.55000000000000004">
      <c r="A92" t="s">
        <v>780</v>
      </c>
      <c r="D92" t="str">
        <f t="shared" si="58"/>
        <v xml:space="preserve">  "32-2": {</v>
      </c>
    </row>
    <row r="93" spans="1:4" x14ac:dyDescent="0.55000000000000004">
      <c r="A93" t="s">
        <v>5</v>
      </c>
      <c r="B93">
        <v>13</v>
      </c>
      <c r="D93" t="str">
        <f t="shared" ref="D93:D145" si="59">A93&amp;","</f>
        <v xml:space="preserve">    "resultPage": 5,</v>
      </c>
    </row>
    <row r="94" spans="1:4" x14ac:dyDescent="0.55000000000000004">
      <c r="A94" t="s">
        <v>763</v>
      </c>
      <c r="B94" t="str">
        <f>VLOOKUP(B93,Tabelle3!$A$2:$E$33,3,FALSE)</f>
        <v>Leg Wound</v>
      </c>
      <c r="C94" t="s">
        <v>762</v>
      </c>
      <c r="D94" t="str">
        <f t="shared" ref="D94:D95" si="60">_xlfn.CONCAT(A94:C94)</f>
        <v xml:space="preserve">    "message":  "Leg Wound",</v>
      </c>
    </row>
    <row r="95" spans="1:4" x14ac:dyDescent="0.55000000000000004">
      <c r="A95" t="s">
        <v>764</v>
      </c>
      <c r="B95" t="str">
        <f>VLOOKUP(B93,Tabelle3!$A$2:$E$33,5,FALSE)</f>
        <v>No Orange</v>
      </c>
      <c r="C95" t="s">
        <v>762</v>
      </c>
      <c r="D95" t="str">
        <f t="shared" si="60"/>
        <v xml:space="preserve">    "nextInstruction":  "No Orange",</v>
      </c>
    </row>
    <row r="96" spans="1:4" x14ac:dyDescent="0.55000000000000004">
      <c r="A96" t="s">
        <v>765</v>
      </c>
      <c r="B96">
        <f>VLOOKUP(B93,Tabelle3!$A$2:$E$33,4,FALSE)</f>
        <v>4</v>
      </c>
      <c r="D96" t="str">
        <f t="shared" ref="D96:D145" si="61">IF(ISNUMBER(B96),(A96&amp;B96),"")</f>
        <v xml:space="preserve">    "damageModifier": 4</v>
      </c>
    </row>
    <row r="97" spans="1:4" x14ac:dyDescent="0.55000000000000004">
      <c r="A97" t="s">
        <v>6</v>
      </c>
      <c r="D97" t="str">
        <f t="shared" ref="D97:D145" si="62">A97</f>
        <v xml:space="preserve">  },</v>
      </c>
    </row>
    <row r="98" spans="1:4" x14ac:dyDescent="0.55000000000000004">
      <c r="A98" t="s">
        <v>781</v>
      </c>
      <c r="D98" t="str">
        <f t="shared" si="62"/>
        <v xml:space="preserve">  "34-2": {</v>
      </c>
    </row>
    <row r="99" spans="1:4" x14ac:dyDescent="0.55000000000000004">
      <c r="A99" t="s">
        <v>5</v>
      </c>
      <c r="B99">
        <v>41</v>
      </c>
      <c r="D99" t="str">
        <f t="shared" ref="D99:D145" si="63">A99&amp;","</f>
        <v xml:space="preserve">    "resultPage": 5,</v>
      </c>
    </row>
    <row r="100" spans="1:4" x14ac:dyDescent="0.55000000000000004">
      <c r="A100" t="s">
        <v>763</v>
      </c>
      <c r="B100" t="str">
        <f>VLOOKUP(B99,Tabelle3!$A$2:$E$33,3,FALSE)</f>
        <v>Knocked Down</v>
      </c>
      <c r="C100" t="s">
        <v>762</v>
      </c>
      <c r="D100" t="str">
        <f t="shared" ref="D100:D101" si="64">_xlfn.CONCAT(A100:C100)</f>
        <v xml:space="preserve">    "message":  "Knocked Down",</v>
      </c>
    </row>
    <row r="101" spans="1:4" x14ac:dyDescent="0.55000000000000004">
      <c r="A101" t="s">
        <v>764</v>
      </c>
      <c r="B101" t="str">
        <f>VLOOKUP(B99,Tabelle3!$A$2:$E$33,5,FALSE)</f>
        <v>Only Yellow No Orange</v>
      </c>
      <c r="C101" t="s">
        <v>762</v>
      </c>
      <c r="D101" t="str">
        <f t="shared" si="64"/>
        <v xml:space="preserve">    "nextInstruction":  "Only Yellow No Orange",</v>
      </c>
    </row>
    <row r="102" spans="1:4" x14ac:dyDescent="0.55000000000000004">
      <c r="A102" t="s">
        <v>765</v>
      </c>
      <c r="B102">
        <f>VLOOKUP(B99,Tabelle3!$A$2:$E$33,4,FALSE)</f>
        <v>0</v>
      </c>
      <c r="D102" t="str">
        <f t="shared" ref="D102:D145" si="65">IF(ISNUMBER(B102),(A102&amp;B102),"")</f>
        <v xml:space="preserve">    "damageModifier": 0</v>
      </c>
    </row>
    <row r="103" spans="1:4" x14ac:dyDescent="0.55000000000000004">
      <c r="A103" t="s">
        <v>6</v>
      </c>
      <c r="D103" t="str">
        <f t="shared" ref="D103:D145" si="66">A103</f>
        <v xml:space="preserve">  },</v>
      </c>
    </row>
    <row r="104" spans="1:4" x14ac:dyDescent="0.55000000000000004">
      <c r="A104" t="s">
        <v>782</v>
      </c>
      <c r="D104" t="str">
        <f t="shared" si="66"/>
        <v xml:space="preserve">  "36-2": {</v>
      </c>
    </row>
    <row r="105" spans="1:4" x14ac:dyDescent="0.55000000000000004">
      <c r="A105" t="s">
        <v>5</v>
      </c>
      <c r="B105">
        <v>13</v>
      </c>
      <c r="D105" t="str">
        <f t="shared" ref="D105:D145" si="67">A105&amp;","</f>
        <v xml:space="preserve">    "resultPage": 5,</v>
      </c>
    </row>
    <row r="106" spans="1:4" x14ac:dyDescent="0.55000000000000004">
      <c r="A106" t="s">
        <v>763</v>
      </c>
      <c r="B106" t="str">
        <f>VLOOKUP(B105,Tabelle3!$A$2:$E$33,3,FALSE)</f>
        <v>Leg Wound</v>
      </c>
      <c r="C106" t="s">
        <v>762</v>
      </c>
      <c r="D106" t="str">
        <f t="shared" ref="D106:D107" si="68">_xlfn.CONCAT(A106:C106)</f>
        <v xml:space="preserve">    "message":  "Leg Wound",</v>
      </c>
    </row>
    <row r="107" spans="1:4" x14ac:dyDescent="0.55000000000000004">
      <c r="A107" t="s">
        <v>764</v>
      </c>
      <c r="B107" t="str">
        <f>VLOOKUP(B105,Tabelle3!$A$2:$E$33,5,FALSE)</f>
        <v>No Orange</v>
      </c>
      <c r="C107" t="s">
        <v>762</v>
      </c>
      <c r="D107" t="str">
        <f t="shared" si="68"/>
        <v xml:space="preserve">    "nextInstruction":  "No Orange",</v>
      </c>
    </row>
    <row r="108" spans="1:4" x14ac:dyDescent="0.55000000000000004">
      <c r="A108" t="s">
        <v>765</v>
      </c>
      <c r="B108">
        <f>VLOOKUP(B105,Tabelle3!$A$2:$E$33,4,FALSE)</f>
        <v>4</v>
      </c>
      <c r="D108" t="str">
        <f t="shared" ref="D108:D145" si="69">IF(ISNUMBER(B108),(A108&amp;B108),"")</f>
        <v xml:space="preserve">    "damageModifier": 4</v>
      </c>
    </row>
    <row r="109" spans="1:4" x14ac:dyDescent="0.55000000000000004">
      <c r="A109" t="s">
        <v>6</v>
      </c>
      <c r="D109" t="str">
        <f t="shared" ref="D109:D145" si="70">A109</f>
        <v xml:space="preserve">  },</v>
      </c>
    </row>
    <row r="110" spans="1:4" x14ac:dyDescent="0.55000000000000004">
      <c r="A110" t="s">
        <v>783</v>
      </c>
      <c r="D110" t="str">
        <f t="shared" si="70"/>
        <v xml:space="preserve">  "38-2": {</v>
      </c>
    </row>
    <row r="111" spans="1:4" x14ac:dyDescent="0.55000000000000004">
      <c r="A111" t="s">
        <v>10</v>
      </c>
      <c r="B111">
        <v>13</v>
      </c>
      <c r="D111" t="str">
        <f t="shared" ref="D111:D145" si="71">A111&amp;","</f>
        <v xml:space="preserve">    "resultPage": 31,</v>
      </c>
    </row>
    <row r="112" spans="1:4" x14ac:dyDescent="0.55000000000000004">
      <c r="A112" t="s">
        <v>763</v>
      </c>
      <c r="B112" t="str">
        <f>VLOOKUP(B111,Tabelle3!$A$2:$E$33,3,FALSE)</f>
        <v>Leg Wound</v>
      </c>
      <c r="C112" t="s">
        <v>762</v>
      </c>
      <c r="D112" t="str">
        <f t="shared" ref="D112:D113" si="72">_xlfn.CONCAT(A112:C112)</f>
        <v xml:space="preserve">    "message":  "Leg Wound",</v>
      </c>
    </row>
    <row r="113" spans="1:4" x14ac:dyDescent="0.55000000000000004">
      <c r="A113" t="s">
        <v>764</v>
      </c>
      <c r="B113" t="str">
        <f>VLOOKUP(B111,Tabelle3!$A$2:$E$33,5,FALSE)</f>
        <v>No Orange</v>
      </c>
      <c r="C113" t="s">
        <v>762</v>
      </c>
      <c r="D113" t="str">
        <f t="shared" si="72"/>
        <v xml:space="preserve">    "nextInstruction":  "No Orange",</v>
      </c>
    </row>
    <row r="114" spans="1:4" x14ac:dyDescent="0.55000000000000004">
      <c r="A114" t="s">
        <v>765</v>
      </c>
      <c r="B114">
        <f>VLOOKUP(B111,Tabelle3!$A$2:$E$33,4,FALSE)</f>
        <v>4</v>
      </c>
      <c r="D114" t="str">
        <f t="shared" ref="D114:D145" si="73">IF(ISNUMBER(B114),(A114&amp;B114),"")</f>
        <v xml:space="preserve">    "damageModifier": 4</v>
      </c>
    </row>
    <row r="115" spans="1:4" x14ac:dyDescent="0.55000000000000004">
      <c r="A115" t="s">
        <v>6</v>
      </c>
      <c r="D115" t="str">
        <f t="shared" ref="D115:D145" si="74">A115</f>
        <v xml:space="preserve">  },</v>
      </c>
    </row>
    <row r="116" spans="1:4" x14ac:dyDescent="0.55000000000000004">
      <c r="A116" t="s">
        <v>784</v>
      </c>
      <c r="D116" t="str">
        <f t="shared" si="74"/>
        <v xml:space="preserve">  "40-2": {</v>
      </c>
    </row>
    <row r="117" spans="1:4" x14ac:dyDescent="0.55000000000000004">
      <c r="A117" t="s">
        <v>13</v>
      </c>
      <c r="B117">
        <f t="shared" ref="B117" si="75">_xlfn.NUMBERVALUE(RIGHT(A117,2))</f>
        <v>49</v>
      </c>
      <c r="D117" t="str">
        <f t="shared" ref="D117:D145" si="76">A117&amp;","</f>
        <v xml:space="preserve">    "resultPage": 49,</v>
      </c>
    </row>
    <row r="118" spans="1:4" x14ac:dyDescent="0.55000000000000004">
      <c r="A118" t="s">
        <v>763</v>
      </c>
      <c r="B118" t="str">
        <f>VLOOKUP(B117,Tabelle3!$A$2:$E$33,3,FALSE)</f>
        <v>Parrying Low</v>
      </c>
      <c r="C118" t="s">
        <v>762</v>
      </c>
      <c r="D118" t="str">
        <f t="shared" ref="D118:D119" si="77">_xlfn.CONCAT(A118:C118)</f>
        <v xml:space="preserve">    "message":  "Parrying Low",</v>
      </c>
    </row>
    <row r="119" spans="1:4" x14ac:dyDescent="0.55000000000000004">
      <c r="A119" t="s">
        <v>764</v>
      </c>
      <c r="B119" t="str">
        <f>VLOOKUP(B117,Tabelle3!$A$2:$E$33,5,FALSE)</f>
        <v/>
      </c>
      <c r="C119" t="s">
        <v>762</v>
      </c>
      <c r="D119" t="str">
        <f t="shared" si="77"/>
        <v xml:space="preserve">    "nextInstruction":  "",</v>
      </c>
    </row>
    <row r="120" spans="1:4" x14ac:dyDescent="0.55000000000000004">
      <c r="A120" t="s">
        <v>765</v>
      </c>
      <c r="B120">
        <f>VLOOKUP(B117,Tabelle3!$A$2:$E$33,4,FALSE)</f>
        <v>-4</v>
      </c>
      <c r="D120" t="str">
        <f t="shared" ref="D120:D145" si="78">IF(ISNUMBER(B120),(A120&amp;B120),"")</f>
        <v xml:space="preserve">    "damageModifier": -4</v>
      </c>
    </row>
    <row r="121" spans="1:4" x14ac:dyDescent="0.55000000000000004">
      <c r="A121" t="s">
        <v>6</v>
      </c>
      <c r="D121" t="str">
        <f t="shared" ref="D121:D145" si="79">A121</f>
        <v xml:space="preserve">  },</v>
      </c>
    </row>
    <row r="122" spans="1:4" x14ac:dyDescent="0.55000000000000004">
      <c r="A122" t="s">
        <v>785</v>
      </c>
      <c r="D122" t="str">
        <f t="shared" si="79"/>
        <v xml:space="preserve">  "42-2": {</v>
      </c>
    </row>
    <row r="123" spans="1:4" x14ac:dyDescent="0.55000000000000004">
      <c r="A123" t="s">
        <v>13</v>
      </c>
      <c r="B123">
        <f t="shared" ref="B123" si="80">_xlfn.NUMBERVALUE(RIGHT(A123,2))</f>
        <v>49</v>
      </c>
      <c r="D123" t="str">
        <f t="shared" ref="D123:D145" si="81">A123&amp;","</f>
        <v xml:space="preserve">    "resultPage": 49,</v>
      </c>
    </row>
    <row r="124" spans="1:4" x14ac:dyDescent="0.55000000000000004">
      <c r="A124" t="s">
        <v>763</v>
      </c>
      <c r="B124" t="str">
        <f>VLOOKUP(B123,Tabelle3!$A$2:$E$33,3,FALSE)</f>
        <v>Parrying Low</v>
      </c>
      <c r="C124" t="s">
        <v>762</v>
      </c>
      <c r="D124" t="str">
        <f t="shared" ref="D124:D125" si="82">_xlfn.CONCAT(A124:C124)</f>
        <v xml:space="preserve">    "message":  "Parrying Low",</v>
      </c>
    </row>
    <row r="125" spans="1:4" x14ac:dyDescent="0.55000000000000004">
      <c r="A125" t="s">
        <v>764</v>
      </c>
      <c r="B125" t="str">
        <f>VLOOKUP(B123,Tabelle3!$A$2:$E$33,5,FALSE)</f>
        <v/>
      </c>
      <c r="C125" t="s">
        <v>762</v>
      </c>
      <c r="D125" t="str">
        <f t="shared" si="82"/>
        <v xml:space="preserve">    "nextInstruction":  "",</v>
      </c>
    </row>
    <row r="126" spans="1:4" x14ac:dyDescent="0.55000000000000004">
      <c r="A126" t="s">
        <v>765</v>
      </c>
      <c r="B126">
        <f>VLOOKUP(B123,Tabelle3!$A$2:$E$33,4,FALSE)</f>
        <v>-4</v>
      </c>
      <c r="D126" t="str">
        <f t="shared" ref="D126:D145" si="83">IF(ISNUMBER(B126),(A126&amp;B126),"")</f>
        <v xml:space="preserve">    "damageModifier": -4</v>
      </c>
    </row>
    <row r="127" spans="1:4" x14ac:dyDescent="0.55000000000000004">
      <c r="A127" t="s">
        <v>6</v>
      </c>
      <c r="D127" t="str">
        <f t="shared" ref="D127:D145" si="84">A127</f>
        <v xml:space="preserve">  },</v>
      </c>
    </row>
    <row r="128" spans="1:4" x14ac:dyDescent="0.55000000000000004">
      <c r="A128" t="s">
        <v>786</v>
      </c>
      <c r="D128" t="str">
        <f t="shared" si="84"/>
        <v xml:space="preserve">  "44-2": {</v>
      </c>
    </row>
    <row r="129" spans="1:4" x14ac:dyDescent="0.55000000000000004">
      <c r="A129" t="s">
        <v>5</v>
      </c>
      <c r="B129">
        <v>15</v>
      </c>
      <c r="D129" t="str">
        <f t="shared" ref="D129:D145" si="85">A129&amp;","</f>
        <v xml:space="preserve">    "resultPage": 5,</v>
      </c>
    </row>
    <row r="130" spans="1:4" x14ac:dyDescent="0.55000000000000004">
      <c r="A130" t="s">
        <v>763</v>
      </c>
      <c r="B130" t="str">
        <f>VLOOKUP(B129,Tabelle3!$A$2:$E$33,3,FALSE)</f>
        <v>Swinging Down</v>
      </c>
      <c r="C130" t="s">
        <v>762</v>
      </c>
      <c r="D130" t="str">
        <f t="shared" ref="D130:D131" si="86">_xlfn.CONCAT(A130:C130)</f>
        <v xml:space="preserve">    "message":  "Swinging Down",</v>
      </c>
    </row>
    <row r="131" spans="1:4" x14ac:dyDescent="0.55000000000000004">
      <c r="A131" t="s">
        <v>764</v>
      </c>
      <c r="B131" t="str">
        <f>VLOOKUP(B129,Tabelle3!$A$2:$E$33,5,FALSE)</f>
        <v/>
      </c>
      <c r="C131" t="s">
        <v>762</v>
      </c>
      <c r="D131" t="str">
        <f t="shared" si="86"/>
        <v xml:space="preserve">    "nextInstruction":  "",</v>
      </c>
    </row>
    <row r="132" spans="1:4" x14ac:dyDescent="0.55000000000000004">
      <c r="A132" t="s">
        <v>765</v>
      </c>
      <c r="B132" t="str">
        <f>VLOOKUP(B129,Tabelle3!$A$2:$E$33,4,FALSE)</f>
        <v>""</v>
      </c>
      <c r="D132" t="str">
        <f t="shared" ref="D132:D145" si="87">IF(ISNUMBER(B132),(A132&amp;B132),"")</f>
        <v/>
      </c>
    </row>
    <row r="133" spans="1:4" x14ac:dyDescent="0.55000000000000004">
      <c r="A133" t="s">
        <v>6</v>
      </c>
      <c r="D133" t="str">
        <f t="shared" ref="D133:D145" si="88">A133</f>
        <v xml:space="preserve">  },</v>
      </c>
    </row>
    <row r="134" spans="1:4" x14ac:dyDescent="0.55000000000000004">
      <c r="A134" t="s">
        <v>787</v>
      </c>
      <c r="D134" t="str">
        <f t="shared" si="88"/>
        <v xml:space="preserve">  "46-2": {</v>
      </c>
    </row>
    <row r="135" spans="1:4" x14ac:dyDescent="0.55000000000000004">
      <c r="A135" t="s">
        <v>5</v>
      </c>
      <c r="B135">
        <v>27</v>
      </c>
      <c r="D135" t="str">
        <f t="shared" ref="D135:D145" si="89">A135&amp;","</f>
        <v xml:space="preserve">    "resultPage": 5,</v>
      </c>
    </row>
    <row r="136" spans="1:4" x14ac:dyDescent="0.55000000000000004">
      <c r="A136" t="s">
        <v>763</v>
      </c>
      <c r="B136" t="str">
        <f>VLOOKUP(B135,Tabelle3!$A$2:$E$33,3,FALSE)</f>
        <v>Weapon Dislodged</v>
      </c>
      <c r="C136" t="s">
        <v>762</v>
      </c>
      <c r="D136" t="str">
        <f t="shared" ref="D136:D137" si="90">_xlfn.CONCAT(A136:C136)</f>
        <v xml:space="preserve">    "message":  "Weapon Dislodged",</v>
      </c>
    </row>
    <row r="137" spans="1:4" x14ac:dyDescent="0.55000000000000004">
      <c r="A137" t="s">
        <v>764</v>
      </c>
      <c r="B137" t="str">
        <f>VLOOKUP(B135,Tabelle3!$A$2:$E$33,5,FALSE)</f>
        <v>Only Green Only Yellow Only Kicks Except Wildswings Until Weapon has been retrieved</v>
      </c>
      <c r="C137" t="s">
        <v>762</v>
      </c>
      <c r="D137" t="str">
        <f t="shared" si="90"/>
        <v xml:space="preserve">    "nextInstruction":  "Only Green Only Yellow Only Kicks Except Wildswings Until Weapon has been retrieved",</v>
      </c>
    </row>
    <row r="138" spans="1:4" x14ac:dyDescent="0.55000000000000004">
      <c r="A138" t="s">
        <v>765</v>
      </c>
      <c r="B138" t="str">
        <f>VLOOKUP(B135,Tabelle3!$A$2:$E$33,4,FALSE)</f>
        <v>""</v>
      </c>
      <c r="D138" t="str">
        <f t="shared" ref="D138:D145" si="91">IF(ISNUMBER(B138),(A138&amp;B138),"")</f>
        <v/>
      </c>
    </row>
    <row r="139" spans="1:4" x14ac:dyDescent="0.55000000000000004">
      <c r="A139" t="s">
        <v>6</v>
      </c>
      <c r="D139" t="str">
        <f t="shared" ref="D139:D145" si="92">A139</f>
        <v xml:space="preserve">  },</v>
      </c>
    </row>
    <row r="140" spans="1:4" x14ac:dyDescent="0.55000000000000004">
      <c r="A140" t="s">
        <v>788</v>
      </c>
      <c r="D140" t="str">
        <f t="shared" si="92"/>
        <v xml:space="preserve">  "48-2": {</v>
      </c>
    </row>
    <row r="141" spans="1:4" x14ac:dyDescent="0.55000000000000004">
      <c r="A141" t="s">
        <v>5</v>
      </c>
      <c r="B141">
        <v>13</v>
      </c>
      <c r="D141" t="str">
        <f t="shared" ref="D141:D145" si="93">A141&amp;","</f>
        <v xml:space="preserve">    "resultPage": 5,</v>
      </c>
    </row>
    <row r="142" spans="1:4" x14ac:dyDescent="0.55000000000000004">
      <c r="A142" t="s">
        <v>763</v>
      </c>
      <c r="B142" t="str">
        <f>VLOOKUP(B141,Tabelle3!$A$2:$E$33,3,FALSE)</f>
        <v>Leg Wound</v>
      </c>
      <c r="C142" t="s">
        <v>762</v>
      </c>
      <c r="D142" t="str">
        <f t="shared" ref="D142:D143" si="94">_xlfn.CONCAT(A142:C142)</f>
        <v xml:space="preserve">    "message":  "Leg Wound",</v>
      </c>
    </row>
    <row r="143" spans="1:4" x14ac:dyDescent="0.55000000000000004">
      <c r="A143" t="s">
        <v>764</v>
      </c>
      <c r="B143" t="str">
        <f>VLOOKUP(B141,Tabelle3!$A$2:$E$33,5,FALSE)</f>
        <v>No Orange</v>
      </c>
      <c r="C143" t="s">
        <v>762</v>
      </c>
      <c r="D143" t="str">
        <f t="shared" si="94"/>
        <v xml:space="preserve">    "nextInstruction":  "No Orange",</v>
      </c>
    </row>
    <row r="144" spans="1:4" x14ac:dyDescent="0.55000000000000004">
      <c r="A144" t="s">
        <v>765</v>
      </c>
      <c r="B144">
        <f>VLOOKUP(B141,Tabelle3!$A$2:$E$33,4,FALSE)</f>
        <v>4</v>
      </c>
      <c r="D144" t="str">
        <f t="shared" ref="D144:D145" si="95">IF(ISNUMBER(B144),(A144&amp;B144),"")</f>
        <v xml:space="preserve">    "damageModifier": 4</v>
      </c>
    </row>
    <row r="145" spans="1:4" x14ac:dyDescent="0.55000000000000004">
      <c r="A145" t="s">
        <v>6</v>
      </c>
      <c r="D145" t="str">
        <f t="shared" ref="D145" si="96">A145</f>
        <v xml:space="preserve">  },</v>
      </c>
    </row>
    <row r="146" spans="1:4" x14ac:dyDescent="0.55000000000000004">
      <c r="A146" t="s">
        <v>4</v>
      </c>
      <c r="D146" t="str">
        <f>A146</f>
        <v xml:space="preserve">  "2-4": {</v>
      </c>
    </row>
    <row r="147" spans="1:4" x14ac:dyDescent="0.55000000000000004">
      <c r="A147" t="s">
        <v>5</v>
      </c>
      <c r="B147">
        <f>_xlfn.NUMBERVALUE(RIGHT(A147,2))</f>
        <v>5</v>
      </c>
      <c r="D147" t="str">
        <f>A147&amp;","</f>
        <v xml:space="preserve">    "resultPage": 5,</v>
      </c>
    </row>
    <row r="148" spans="1:4" x14ac:dyDescent="0.55000000000000004">
      <c r="A148" t="s">
        <v>763</v>
      </c>
      <c r="B148" t="str">
        <f>VLOOKUP(B147,Tabelle3!$A$2:$E$33,3,FALSE)</f>
        <v>Swinging Low</v>
      </c>
      <c r="C148" t="s">
        <v>762</v>
      </c>
      <c r="D148" t="str">
        <f>_xlfn.CONCAT(A148:C148)</f>
        <v xml:space="preserve">    "message":  "Swinging Low",</v>
      </c>
    </row>
    <row r="149" spans="1:4" x14ac:dyDescent="0.55000000000000004">
      <c r="A149" t="s">
        <v>764</v>
      </c>
      <c r="B149" t="str">
        <f>VLOOKUP(B147,Tabelle3!$A$2:$E$33,5,FALSE)</f>
        <v>No Blue</v>
      </c>
      <c r="C149" t="s">
        <v>762</v>
      </c>
      <c r="D149" t="str">
        <f t="shared" ref="D149" si="97">_xlfn.CONCAT(A149:C149)</f>
        <v xml:space="preserve">    "nextInstruction":  "No Blue",</v>
      </c>
    </row>
    <row r="150" spans="1:4" x14ac:dyDescent="0.55000000000000004">
      <c r="A150" t="s">
        <v>765</v>
      </c>
      <c r="B150" t="str">
        <f>VLOOKUP(B147,Tabelle3!$A$2:$E$33,4,FALSE)</f>
        <v>""</v>
      </c>
      <c r="D150" t="str">
        <f>IF(ISNUMBER(B150),(A150&amp;B150),"")</f>
        <v/>
      </c>
    </row>
    <row r="151" spans="1:4" x14ac:dyDescent="0.55000000000000004">
      <c r="A151" t="s">
        <v>6</v>
      </c>
      <c r="D151" t="str">
        <f>A151</f>
        <v xml:space="preserve">  },</v>
      </c>
    </row>
    <row r="152" spans="1:4" x14ac:dyDescent="0.55000000000000004">
      <c r="A152" t="s">
        <v>7</v>
      </c>
      <c r="D152" t="str">
        <f t="shared" ref="D152:D215" si="98">A152</f>
        <v xml:space="preserve">  "2-6": {</v>
      </c>
    </row>
    <row r="153" spans="1:4" x14ac:dyDescent="0.55000000000000004">
      <c r="A153" t="s">
        <v>5</v>
      </c>
      <c r="B153">
        <f>_xlfn.NUMBERVALUE(RIGHT(A153,2))</f>
        <v>5</v>
      </c>
      <c r="D153" t="str">
        <f t="shared" ref="D153:D216" si="99">A153&amp;","</f>
        <v xml:space="preserve">    "resultPage": 5,</v>
      </c>
    </row>
    <row r="154" spans="1:4" x14ac:dyDescent="0.55000000000000004">
      <c r="A154" t="s">
        <v>763</v>
      </c>
      <c r="B154" t="str">
        <f>VLOOKUP(B153,Tabelle3!$A$2:$E$33,3,FALSE)</f>
        <v>Swinging Low</v>
      </c>
      <c r="C154" t="s">
        <v>762</v>
      </c>
      <c r="D154" t="str">
        <f t="shared" ref="D154:D215" si="100">_xlfn.CONCAT(A154:C154)</f>
        <v xml:space="preserve">    "message":  "Swinging Low",</v>
      </c>
    </row>
    <row r="155" spans="1:4" x14ac:dyDescent="0.55000000000000004">
      <c r="A155" t="s">
        <v>764</v>
      </c>
      <c r="B155" t="str">
        <f>VLOOKUP(B153,Tabelle3!$A$2:$E$33,5,FALSE)</f>
        <v>No Blue</v>
      </c>
      <c r="C155" t="s">
        <v>762</v>
      </c>
      <c r="D155" t="str">
        <f t="shared" si="100"/>
        <v xml:space="preserve">    "nextInstruction":  "No Blue",</v>
      </c>
    </row>
    <row r="156" spans="1:4" x14ac:dyDescent="0.55000000000000004">
      <c r="A156" t="s">
        <v>765</v>
      </c>
      <c r="B156" t="str">
        <f>VLOOKUP(B153,Tabelle3!$A$2:$E$33,4,FALSE)</f>
        <v>""</v>
      </c>
      <c r="D156" t="str">
        <f t="shared" ref="D156:D219" si="101">IF(ISNUMBER(B156),(A156&amp;B156),"")</f>
        <v/>
      </c>
    </row>
    <row r="157" spans="1:4" x14ac:dyDescent="0.55000000000000004">
      <c r="A157" t="s">
        <v>6</v>
      </c>
      <c r="D157" t="str">
        <f t="shared" ref="D157:D220" si="102">A157</f>
        <v xml:space="preserve">  },</v>
      </c>
    </row>
    <row r="158" spans="1:4" x14ac:dyDescent="0.55000000000000004">
      <c r="A158" t="s">
        <v>8</v>
      </c>
      <c r="D158" t="str">
        <f t="shared" si="102"/>
        <v xml:space="preserve">  "2-8": {</v>
      </c>
    </row>
    <row r="159" spans="1:4" x14ac:dyDescent="0.55000000000000004">
      <c r="A159" t="s">
        <v>5</v>
      </c>
      <c r="B159">
        <f>_xlfn.NUMBERVALUE(RIGHT(A159,2))</f>
        <v>5</v>
      </c>
      <c r="D159" t="str">
        <f t="shared" ref="D159:D222" si="103">A159&amp;","</f>
        <v xml:space="preserve">    "resultPage": 5,</v>
      </c>
    </row>
    <row r="160" spans="1:4" x14ac:dyDescent="0.55000000000000004">
      <c r="A160" t="s">
        <v>763</v>
      </c>
      <c r="B160" t="str">
        <f>VLOOKUP(B159,Tabelle3!$A$2:$E$33,3,FALSE)</f>
        <v>Swinging Low</v>
      </c>
      <c r="C160" t="s">
        <v>762</v>
      </c>
      <c r="D160" t="str">
        <f t="shared" ref="D160" si="104">_xlfn.CONCAT(A160:C160)</f>
        <v xml:space="preserve">    "message":  "Swinging Low",</v>
      </c>
    </row>
    <row r="161" spans="1:4" x14ac:dyDescent="0.55000000000000004">
      <c r="A161" t="s">
        <v>764</v>
      </c>
      <c r="B161" t="str">
        <f>VLOOKUP(B159,Tabelle3!$A$2:$E$33,5,FALSE)</f>
        <v>No Blue</v>
      </c>
      <c r="C161" t="s">
        <v>762</v>
      </c>
      <c r="D161" t="str">
        <f t="shared" si="100"/>
        <v xml:space="preserve">    "nextInstruction":  "No Blue",</v>
      </c>
    </row>
    <row r="162" spans="1:4" x14ac:dyDescent="0.55000000000000004">
      <c r="A162" t="s">
        <v>765</v>
      </c>
      <c r="B162" t="str">
        <f>VLOOKUP(B159,Tabelle3!$A$2:$E$33,4,FALSE)</f>
        <v>""</v>
      </c>
      <c r="D162" t="str">
        <f t="shared" ref="D162:D225" si="105">IF(ISNUMBER(B162),(A162&amp;B162),"")</f>
        <v/>
      </c>
    </row>
    <row r="163" spans="1:4" x14ac:dyDescent="0.55000000000000004">
      <c r="A163" t="s">
        <v>6</v>
      </c>
      <c r="D163" t="str">
        <f t="shared" ref="D163:D226" si="106">A163</f>
        <v xml:space="preserve">  },</v>
      </c>
    </row>
    <row r="164" spans="1:4" x14ac:dyDescent="0.55000000000000004">
      <c r="A164" t="s">
        <v>9</v>
      </c>
      <c r="D164" t="str">
        <f t="shared" si="106"/>
        <v xml:space="preserve">  "2-10": {</v>
      </c>
    </row>
    <row r="165" spans="1:4" x14ac:dyDescent="0.55000000000000004">
      <c r="A165" t="s">
        <v>10</v>
      </c>
      <c r="B165">
        <f t="shared" ref="B165" si="107">_xlfn.NUMBERVALUE(RIGHT(A165,2))</f>
        <v>31</v>
      </c>
      <c r="D165" t="str">
        <f t="shared" ref="D165:D228" si="108">A165&amp;","</f>
        <v xml:space="preserve">    "resultPage": 31,</v>
      </c>
    </row>
    <row r="166" spans="1:4" x14ac:dyDescent="0.55000000000000004">
      <c r="A166" t="s">
        <v>763</v>
      </c>
      <c r="B166" t="str">
        <f>VLOOKUP(B165,Tabelle3!$A$2:$E$33,3,FALSE)</f>
        <v>Arm Wound</v>
      </c>
      <c r="C166" t="s">
        <v>762</v>
      </c>
      <c r="D166" t="str">
        <f t="shared" ref="D166" si="109">_xlfn.CONCAT(A166:C166)</f>
        <v xml:space="preserve">    "message":  "Arm Wound",</v>
      </c>
    </row>
    <row r="167" spans="1:4" x14ac:dyDescent="0.55000000000000004">
      <c r="A167" t="s">
        <v>764</v>
      </c>
      <c r="B167" t="str">
        <f>VLOOKUP(B165,Tabelle3!$A$2:$E$33,5,FALSE)</f>
        <v>No Orange</v>
      </c>
      <c r="C167" t="s">
        <v>762</v>
      </c>
      <c r="D167" t="str">
        <f t="shared" si="100"/>
        <v xml:space="preserve">    "nextInstruction":  "No Orange",</v>
      </c>
    </row>
    <row r="168" spans="1:4" x14ac:dyDescent="0.55000000000000004">
      <c r="A168" t="s">
        <v>765</v>
      </c>
      <c r="B168">
        <f>VLOOKUP(B165,Tabelle3!$A$2:$E$33,4,FALSE)</f>
        <v>3</v>
      </c>
      <c r="D168" t="str">
        <f t="shared" ref="D168:D231" si="110">IF(ISNUMBER(B168),(A168&amp;B168),"")</f>
        <v xml:space="preserve">    "damageModifier": 3</v>
      </c>
    </row>
    <row r="169" spans="1:4" x14ac:dyDescent="0.55000000000000004">
      <c r="A169" t="s">
        <v>6</v>
      </c>
      <c r="D169" t="str">
        <f t="shared" ref="D169:D232" si="111">A169</f>
        <v xml:space="preserve">  },</v>
      </c>
    </row>
    <row r="170" spans="1:4" x14ac:dyDescent="0.55000000000000004">
      <c r="A170" t="s">
        <v>11</v>
      </c>
      <c r="D170" t="str">
        <f t="shared" si="111"/>
        <v xml:space="preserve">  "2-12": {</v>
      </c>
    </row>
    <row r="171" spans="1:4" x14ac:dyDescent="0.55000000000000004">
      <c r="A171" t="s">
        <v>10</v>
      </c>
      <c r="B171">
        <f t="shared" ref="B171" si="112">_xlfn.NUMBERVALUE(RIGHT(A171,2))</f>
        <v>31</v>
      </c>
      <c r="D171" t="str">
        <f t="shared" ref="D171:D234" si="113">A171&amp;","</f>
        <v xml:space="preserve">    "resultPage": 31,</v>
      </c>
    </row>
    <row r="172" spans="1:4" x14ac:dyDescent="0.55000000000000004">
      <c r="A172" t="s">
        <v>763</v>
      </c>
      <c r="B172" t="str">
        <f>VLOOKUP(B171,Tabelle3!$A$2:$E$33,3,FALSE)</f>
        <v>Arm Wound</v>
      </c>
      <c r="C172" t="s">
        <v>762</v>
      </c>
      <c r="D172" t="str">
        <f t="shared" ref="D172" si="114">_xlfn.CONCAT(A172:C172)</f>
        <v xml:space="preserve">    "message":  "Arm Wound",</v>
      </c>
    </row>
    <row r="173" spans="1:4" x14ac:dyDescent="0.55000000000000004">
      <c r="A173" t="s">
        <v>764</v>
      </c>
      <c r="B173" t="str">
        <f>VLOOKUP(B171,Tabelle3!$A$2:$E$33,5,FALSE)</f>
        <v>No Orange</v>
      </c>
      <c r="C173" t="s">
        <v>762</v>
      </c>
      <c r="D173" t="str">
        <f t="shared" si="100"/>
        <v xml:space="preserve">    "nextInstruction":  "No Orange",</v>
      </c>
    </row>
    <row r="174" spans="1:4" x14ac:dyDescent="0.55000000000000004">
      <c r="A174" t="s">
        <v>765</v>
      </c>
      <c r="B174">
        <f>VLOOKUP(B171,Tabelle3!$A$2:$E$33,4,FALSE)</f>
        <v>3</v>
      </c>
      <c r="D174" t="str">
        <f t="shared" ref="D174:D237" si="115">IF(ISNUMBER(B174),(A174&amp;B174),"")</f>
        <v xml:space="preserve">    "damageModifier": 3</v>
      </c>
    </row>
    <row r="175" spans="1:4" x14ac:dyDescent="0.55000000000000004">
      <c r="A175" t="s">
        <v>6</v>
      </c>
      <c r="D175" t="str">
        <f t="shared" ref="D175:D238" si="116">A175</f>
        <v xml:space="preserve">  },</v>
      </c>
    </row>
    <row r="176" spans="1:4" x14ac:dyDescent="0.55000000000000004">
      <c r="A176" t="s">
        <v>12</v>
      </c>
      <c r="D176" t="str">
        <f t="shared" si="116"/>
        <v xml:space="preserve">  "2-14": {</v>
      </c>
    </row>
    <row r="177" spans="1:4" x14ac:dyDescent="0.55000000000000004">
      <c r="A177" t="s">
        <v>13</v>
      </c>
      <c r="B177">
        <f t="shared" ref="B177" si="117">_xlfn.NUMBERVALUE(RIGHT(A177,2))</f>
        <v>49</v>
      </c>
      <c r="D177" t="str">
        <f t="shared" ref="D177:D240" si="118">A177&amp;","</f>
        <v xml:space="preserve">    "resultPage": 49,</v>
      </c>
    </row>
    <row r="178" spans="1:4" x14ac:dyDescent="0.55000000000000004">
      <c r="A178" t="s">
        <v>763</v>
      </c>
      <c r="B178" t="str">
        <f>VLOOKUP(B177,Tabelle3!$A$2:$E$33,3,FALSE)</f>
        <v>Parrying Low</v>
      </c>
      <c r="C178" t="s">
        <v>762</v>
      </c>
      <c r="D178" t="str">
        <f t="shared" ref="D178" si="119">_xlfn.CONCAT(A178:C178)</f>
        <v xml:space="preserve">    "message":  "Parrying Low",</v>
      </c>
    </row>
    <row r="179" spans="1:4" x14ac:dyDescent="0.55000000000000004">
      <c r="A179" t="s">
        <v>764</v>
      </c>
      <c r="B179" t="str">
        <f>VLOOKUP(B177,Tabelle3!$A$2:$E$33,5,FALSE)</f>
        <v/>
      </c>
      <c r="C179" t="s">
        <v>762</v>
      </c>
      <c r="D179" t="str">
        <f t="shared" si="100"/>
        <v xml:space="preserve">    "nextInstruction":  "",</v>
      </c>
    </row>
    <row r="180" spans="1:4" x14ac:dyDescent="0.55000000000000004">
      <c r="A180" t="s">
        <v>765</v>
      </c>
      <c r="B180">
        <f>VLOOKUP(B177,Tabelle3!$A$2:$E$33,4,FALSE)</f>
        <v>-4</v>
      </c>
      <c r="D180" t="str">
        <f t="shared" ref="D180:D243" si="120">IF(ISNUMBER(B180),(A180&amp;B180),"")</f>
        <v xml:space="preserve">    "damageModifier": -4</v>
      </c>
    </row>
    <row r="181" spans="1:4" x14ac:dyDescent="0.55000000000000004">
      <c r="A181" t="s">
        <v>6</v>
      </c>
      <c r="D181" t="str">
        <f t="shared" ref="D181:D244" si="121">A181</f>
        <v xml:space="preserve">  },</v>
      </c>
    </row>
    <row r="182" spans="1:4" x14ac:dyDescent="0.55000000000000004">
      <c r="A182" t="s">
        <v>14</v>
      </c>
      <c r="D182" t="str">
        <f t="shared" si="121"/>
        <v xml:space="preserve">  "2-16": {</v>
      </c>
    </row>
    <row r="183" spans="1:4" x14ac:dyDescent="0.55000000000000004">
      <c r="A183" t="s">
        <v>15</v>
      </c>
      <c r="B183">
        <f t="shared" ref="B183" si="122">_xlfn.NUMBERVALUE(RIGHT(A183,2))</f>
        <v>57</v>
      </c>
      <c r="D183" t="str">
        <f t="shared" ref="D183:D246" si="123">A183&amp;","</f>
        <v xml:space="preserve">    "resultPage": 57,</v>
      </c>
    </row>
    <row r="184" spans="1:4" x14ac:dyDescent="0.55000000000000004">
      <c r="A184" t="s">
        <v>763</v>
      </c>
      <c r="B184" t="str">
        <f>VLOOKUP(B183,Tabelle3!$A$2:$E$33,3,FALSE)</f>
        <v>Extended Range Blocking</v>
      </c>
      <c r="C184" t="s">
        <v>762</v>
      </c>
      <c r="D184" t="str">
        <f t="shared" ref="D184" si="124">_xlfn.CONCAT(A184:C184)</f>
        <v xml:space="preserve">    "message":  "Extended Range Blocking",</v>
      </c>
    </row>
    <row r="185" spans="1:4" x14ac:dyDescent="0.55000000000000004">
      <c r="A185" t="s">
        <v>764</v>
      </c>
      <c r="B185" t="str">
        <f>VLOOKUP(B183,Tabelle3!$A$2:$E$33,5,FALSE)</f>
        <v>Only Extended Range</v>
      </c>
      <c r="C185" t="s">
        <v>762</v>
      </c>
      <c r="D185" t="str">
        <f t="shared" si="100"/>
        <v xml:space="preserve">    "nextInstruction":  "Only Extended Range",</v>
      </c>
    </row>
    <row r="186" spans="1:4" x14ac:dyDescent="0.55000000000000004">
      <c r="A186" t="s">
        <v>765</v>
      </c>
      <c r="B186" t="str">
        <f>VLOOKUP(B183,Tabelle3!$A$2:$E$33,4,FALSE)</f>
        <v>""</v>
      </c>
      <c r="D186" t="str">
        <f t="shared" ref="D186:D249" si="125">IF(ISNUMBER(B186),(A186&amp;B186),"")</f>
        <v/>
      </c>
    </row>
    <row r="187" spans="1:4" x14ac:dyDescent="0.55000000000000004">
      <c r="A187" t="s">
        <v>6</v>
      </c>
      <c r="D187" t="str">
        <f t="shared" ref="D187:D250" si="126">A187</f>
        <v xml:space="preserve">  },</v>
      </c>
    </row>
    <row r="188" spans="1:4" x14ac:dyDescent="0.55000000000000004">
      <c r="A188" t="s">
        <v>16</v>
      </c>
      <c r="D188" t="str">
        <f t="shared" si="126"/>
        <v xml:space="preserve">  "2-18": {</v>
      </c>
    </row>
    <row r="189" spans="1:4" x14ac:dyDescent="0.55000000000000004">
      <c r="A189" t="s">
        <v>5</v>
      </c>
      <c r="B189">
        <f t="shared" ref="B189" si="127">_xlfn.NUMBERVALUE(RIGHT(A189,2))</f>
        <v>5</v>
      </c>
      <c r="D189" t="str">
        <f t="shared" ref="D189:D252" si="128">A189&amp;","</f>
        <v xml:space="preserve">    "resultPage": 5,</v>
      </c>
    </row>
    <row r="190" spans="1:4" x14ac:dyDescent="0.55000000000000004">
      <c r="A190" t="s">
        <v>763</v>
      </c>
      <c r="B190" t="str">
        <f>VLOOKUP(B189,Tabelle3!$A$2:$E$33,3,FALSE)</f>
        <v>Swinging Low</v>
      </c>
      <c r="C190" t="s">
        <v>762</v>
      </c>
      <c r="D190" t="str">
        <f t="shared" ref="D190" si="129">_xlfn.CONCAT(A190:C190)</f>
        <v xml:space="preserve">    "message":  "Swinging Low",</v>
      </c>
    </row>
    <row r="191" spans="1:4" x14ac:dyDescent="0.55000000000000004">
      <c r="A191" t="s">
        <v>764</v>
      </c>
      <c r="B191" t="str">
        <f>VLOOKUP(B189,Tabelle3!$A$2:$E$33,5,FALSE)</f>
        <v>No Blue</v>
      </c>
      <c r="C191" t="s">
        <v>762</v>
      </c>
      <c r="D191" t="str">
        <f t="shared" si="100"/>
        <v xml:space="preserve">    "nextInstruction":  "No Blue",</v>
      </c>
    </row>
    <row r="192" spans="1:4" x14ac:dyDescent="0.55000000000000004">
      <c r="A192" t="s">
        <v>765</v>
      </c>
      <c r="B192" t="str">
        <f>VLOOKUP(B189,Tabelle3!$A$2:$E$33,4,FALSE)</f>
        <v>""</v>
      </c>
      <c r="D192" t="str">
        <f t="shared" ref="D192:D255" si="130">IF(ISNUMBER(B192),(A192&amp;B192),"")</f>
        <v/>
      </c>
    </row>
    <row r="193" spans="1:4" x14ac:dyDescent="0.55000000000000004">
      <c r="A193" t="s">
        <v>6</v>
      </c>
      <c r="D193" t="str">
        <f t="shared" ref="D193:D256" si="131">A193</f>
        <v xml:space="preserve">  },</v>
      </c>
    </row>
    <row r="194" spans="1:4" x14ac:dyDescent="0.55000000000000004">
      <c r="A194" t="s">
        <v>17</v>
      </c>
      <c r="D194" t="str">
        <f t="shared" si="131"/>
        <v xml:space="preserve">  "2-20": {</v>
      </c>
    </row>
    <row r="195" spans="1:4" x14ac:dyDescent="0.55000000000000004">
      <c r="A195" t="s">
        <v>5</v>
      </c>
      <c r="B195">
        <f t="shared" ref="B195" si="132">_xlfn.NUMBERVALUE(RIGHT(A195,2))</f>
        <v>5</v>
      </c>
      <c r="D195" t="str">
        <f t="shared" ref="D195:D258" si="133">A195&amp;","</f>
        <v xml:space="preserve">    "resultPage": 5,</v>
      </c>
    </row>
    <row r="196" spans="1:4" x14ac:dyDescent="0.55000000000000004">
      <c r="A196" t="s">
        <v>763</v>
      </c>
      <c r="B196" t="str">
        <f>VLOOKUP(B195,Tabelle3!$A$2:$E$33,3,FALSE)</f>
        <v>Swinging Low</v>
      </c>
      <c r="C196" t="s">
        <v>762</v>
      </c>
      <c r="D196" t="str">
        <f t="shared" ref="D196" si="134">_xlfn.CONCAT(A196:C196)</f>
        <v xml:space="preserve">    "message":  "Swinging Low",</v>
      </c>
    </row>
    <row r="197" spans="1:4" x14ac:dyDescent="0.55000000000000004">
      <c r="A197" t="s">
        <v>764</v>
      </c>
      <c r="B197" t="str">
        <f>VLOOKUP(B195,Tabelle3!$A$2:$E$33,5,FALSE)</f>
        <v>No Blue</v>
      </c>
      <c r="C197" t="s">
        <v>762</v>
      </c>
      <c r="D197" t="str">
        <f t="shared" si="100"/>
        <v xml:space="preserve">    "nextInstruction":  "No Blue",</v>
      </c>
    </row>
    <row r="198" spans="1:4" x14ac:dyDescent="0.55000000000000004">
      <c r="A198" t="s">
        <v>765</v>
      </c>
      <c r="B198" t="str">
        <f>VLOOKUP(B195,Tabelle3!$A$2:$E$33,4,FALSE)</f>
        <v>""</v>
      </c>
      <c r="D198" t="str">
        <f t="shared" ref="D198:D261" si="135">IF(ISNUMBER(B198),(A198&amp;B198),"")</f>
        <v/>
      </c>
    </row>
    <row r="199" spans="1:4" x14ac:dyDescent="0.55000000000000004">
      <c r="A199" t="s">
        <v>6</v>
      </c>
      <c r="D199" t="str">
        <f t="shared" ref="D199:D262" si="136">A199</f>
        <v xml:space="preserve">  },</v>
      </c>
    </row>
    <row r="200" spans="1:4" x14ac:dyDescent="0.55000000000000004">
      <c r="A200" t="s">
        <v>18</v>
      </c>
      <c r="D200" t="str">
        <f t="shared" si="136"/>
        <v xml:space="preserve">  "2-22": {</v>
      </c>
    </row>
    <row r="201" spans="1:4" x14ac:dyDescent="0.55000000000000004">
      <c r="A201" t="s">
        <v>13</v>
      </c>
      <c r="B201">
        <f t="shared" ref="B201" si="137">_xlfn.NUMBERVALUE(RIGHT(A201,2))</f>
        <v>49</v>
      </c>
      <c r="D201" t="str">
        <f t="shared" ref="D201:D264" si="138">A201&amp;","</f>
        <v xml:space="preserve">    "resultPage": 49,</v>
      </c>
    </row>
    <row r="202" spans="1:4" x14ac:dyDescent="0.55000000000000004">
      <c r="A202" t="s">
        <v>763</v>
      </c>
      <c r="B202" t="str">
        <f>VLOOKUP(B201,Tabelle3!$A$2:$E$33,3,FALSE)</f>
        <v>Parrying Low</v>
      </c>
      <c r="C202" t="s">
        <v>762</v>
      </c>
      <c r="D202" t="str">
        <f t="shared" ref="D202" si="139">_xlfn.CONCAT(A202:C202)</f>
        <v xml:space="preserve">    "message":  "Parrying Low",</v>
      </c>
    </row>
    <row r="203" spans="1:4" x14ac:dyDescent="0.55000000000000004">
      <c r="A203" t="s">
        <v>764</v>
      </c>
      <c r="B203" t="str">
        <f>VLOOKUP(B201,Tabelle3!$A$2:$E$33,5,FALSE)</f>
        <v/>
      </c>
      <c r="C203" t="s">
        <v>762</v>
      </c>
      <c r="D203" t="str">
        <f t="shared" si="100"/>
        <v xml:space="preserve">    "nextInstruction":  "",</v>
      </c>
    </row>
    <row r="204" spans="1:4" x14ac:dyDescent="0.55000000000000004">
      <c r="A204" t="s">
        <v>765</v>
      </c>
      <c r="B204">
        <f>VLOOKUP(B201,Tabelle3!$A$2:$E$33,4,FALSE)</f>
        <v>-4</v>
      </c>
      <c r="D204" t="str">
        <f t="shared" ref="D204:D267" si="140">IF(ISNUMBER(B204),(A204&amp;B204),"")</f>
        <v xml:space="preserve">    "damageModifier": -4</v>
      </c>
    </row>
    <row r="205" spans="1:4" x14ac:dyDescent="0.55000000000000004">
      <c r="A205" t="s">
        <v>6</v>
      </c>
      <c r="D205" t="str">
        <f t="shared" ref="D205:D268" si="141">A205</f>
        <v xml:space="preserve">  },</v>
      </c>
    </row>
    <row r="206" spans="1:4" x14ac:dyDescent="0.55000000000000004">
      <c r="A206" t="s">
        <v>19</v>
      </c>
      <c r="D206" t="str">
        <f t="shared" si="141"/>
        <v xml:space="preserve">  "2-24": {</v>
      </c>
    </row>
    <row r="207" spans="1:4" x14ac:dyDescent="0.55000000000000004">
      <c r="A207" t="s">
        <v>20</v>
      </c>
      <c r="B207">
        <f t="shared" ref="B207" si="142">_xlfn.NUMBERVALUE(RIGHT(A207,2))</f>
        <v>53</v>
      </c>
      <c r="D207" t="str">
        <f t="shared" ref="D207:D270" si="143">A207&amp;","</f>
        <v xml:space="preserve">    "resultPage": 53,</v>
      </c>
    </row>
    <row r="208" spans="1:4" x14ac:dyDescent="0.55000000000000004">
      <c r="A208" t="s">
        <v>763</v>
      </c>
      <c r="B208" t="str">
        <f>VLOOKUP(B207,Tabelle3!$A$2:$E$33,3,FALSE)</f>
        <v>Body Wound</v>
      </c>
      <c r="C208" t="s">
        <v>762</v>
      </c>
      <c r="D208" t="str">
        <f t="shared" ref="D208" si="144">_xlfn.CONCAT(A208:C208)</f>
        <v xml:space="preserve">    "message":  "Body Wound",</v>
      </c>
    </row>
    <row r="209" spans="1:4" x14ac:dyDescent="0.55000000000000004">
      <c r="A209" t="s">
        <v>764</v>
      </c>
      <c r="B209" t="str">
        <f>VLOOKUP(B207,Tabelle3!$A$2:$E$33,5,FALSE)</f>
        <v>No Red No Orange</v>
      </c>
      <c r="C209" t="s">
        <v>762</v>
      </c>
      <c r="D209" t="str">
        <f t="shared" si="100"/>
        <v xml:space="preserve">    "nextInstruction":  "No Red No Orange",</v>
      </c>
    </row>
    <row r="210" spans="1:4" x14ac:dyDescent="0.55000000000000004">
      <c r="A210" t="s">
        <v>765</v>
      </c>
      <c r="B210">
        <f>VLOOKUP(B207,Tabelle3!$A$2:$E$33,4,FALSE)</f>
        <v>5</v>
      </c>
      <c r="D210" t="str">
        <f t="shared" ref="D210:D273" si="145">IF(ISNUMBER(B210),(A210&amp;B210),"")</f>
        <v xml:space="preserve">    "damageModifier": 5</v>
      </c>
    </row>
    <row r="211" spans="1:4" x14ac:dyDescent="0.55000000000000004">
      <c r="A211" t="s">
        <v>6</v>
      </c>
      <c r="D211" t="str">
        <f t="shared" ref="D211:D274" si="146">A211</f>
        <v xml:space="preserve">  },</v>
      </c>
    </row>
    <row r="212" spans="1:4" x14ac:dyDescent="0.55000000000000004">
      <c r="A212" t="s">
        <v>21</v>
      </c>
      <c r="D212" t="str">
        <f t="shared" si="146"/>
        <v xml:space="preserve">  "2-26": {</v>
      </c>
    </row>
    <row r="213" spans="1:4" x14ac:dyDescent="0.55000000000000004">
      <c r="A213" t="s">
        <v>5</v>
      </c>
      <c r="B213">
        <f t="shared" ref="B213" si="147">_xlfn.NUMBERVALUE(RIGHT(A213,2))</f>
        <v>5</v>
      </c>
      <c r="D213" t="str">
        <f t="shared" ref="D213:D276" si="148">A213&amp;","</f>
        <v xml:space="preserve">    "resultPage": 5,</v>
      </c>
    </row>
    <row r="214" spans="1:4" x14ac:dyDescent="0.55000000000000004">
      <c r="A214" t="s">
        <v>763</v>
      </c>
      <c r="B214" t="str">
        <f>VLOOKUP(B213,Tabelle3!$A$2:$E$33,3,FALSE)</f>
        <v>Swinging Low</v>
      </c>
      <c r="C214" t="s">
        <v>762</v>
      </c>
      <c r="D214" t="str">
        <f t="shared" ref="D214" si="149">_xlfn.CONCAT(A214:C214)</f>
        <v xml:space="preserve">    "message":  "Swinging Low",</v>
      </c>
    </row>
    <row r="215" spans="1:4" x14ac:dyDescent="0.55000000000000004">
      <c r="A215" t="s">
        <v>764</v>
      </c>
      <c r="B215" t="str">
        <f>VLOOKUP(B213,Tabelle3!$A$2:$E$33,5,FALSE)</f>
        <v>No Blue</v>
      </c>
      <c r="C215" t="s">
        <v>762</v>
      </c>
      <c r="D215" t="str">
        <f t="shared" si="100"/>
        <v xml:space="preserve">    "nextInstruction":  "No Blue",</v>
      </c>
    </row>
    <row r="216" spans="1:4" x14ac:dyDescent="0.55000000000000004">
      <c r="A216" t="s">
        <v>765</v>
      </c>
      <c r="B216" t="str">
        <f>VLOOKUP(B213,Tabelle3!$A$2:$E$33,4,FALSE)</f>
        <v>""</v>
      </c>
      <c r="D216" t="str">
        <f t="shared" ref="D216:D279" si="150">IF(ISNUMBER(B216),(A216&amp;B216),"")</f>
        <v/>
      </c>
    </row>
    <row r="217" spans="1:4" x14ac:dyDescent="0.55000000000000004">
      <c r="A217" t="s">
        <v>6</v>
      </c>
      <c r="D217" t="str">
        <f t="shared" ref="D217:D280" si="151">A217</f>
        <v xml:space="preserve">  },</v>
      </c>
    </row>
    <row r="218" spans="1:4" x14ac:dyDescent="0.55000000000000004">
      <c r="A218" t="s">
        <v>22</v>
      </c>
      <c r="D218" t="str">
        <f t="shared" si="151"/>
        <v xml:space="preserve">  "2-28": {</v>
      </c>
    </row>
    <row r="219" spans="1:4" x14ac:dyDescent="0.55000000000000004">
      <c r="A219" t="s">
        <v>23</v>
      </c>
      <c r="B219">
        <f t="shared" ref="B219" si="152">_xlfn.NUMBERVALUE(RIGHT(A219,2))</f>
        <v>7</v>
      </c>
      <c r="D219" t="str">
        <f t="shared" ref="D219:D282" si="153">A219&amp;","</f>
        <v xml:space="preserve">    "resultPage": 7,</v>
      </c>
    </row>
    <row r="220" spans="1:4" x14ac:dyDescent="0.55000000000000004">
      <c r="A220" t="s">
        <v>763</v>
      </c>
      <c r="B220" t="str">
        <f>VLOOKUP(B219,Tabelle3!$A$2:$E$33,3,FALSE)</f>
        <v>Dazed</v>
      </c>
      <c r="C220" t="s">
        <v>762</v>
      </c>
      <c r="D220" t="str">
        <f t="shared" ref="D220:D281" si="154">_xlfn.CONCAT(A220:C220)</f>
        <v xml:space="preserve">    "message":  "Dazed",</v>
      </c>
    </row>
    <row r="221" spans="1:4" x14ac:dyDescent="0.55000000000000004">
      <c r="A221" t="s">
        <v>764</v>
      </c>
      <c r="B221" t="str">
        <f>VLOOKUP(B219,Tabelle3!$A$2:$E$33,5,FALSE)</f>
        <v>Only Green Only Yellow</v>
      </c>
      <c r="C221" t="s">
        <v>762</v>
      </c>
      <c r="D221" t="str">
        <f t="shared" si="154"/>
        <v xml:space="preserve">    "nextInstruction":  "Only Green Only Yellow",</v>
      </c>
    </row>
    <row r="222" spans="1:4" x14ac:dyDescent="0.55000000000000004">
      <c r="A222" t="s">
        <v>765</v>
      </c>
      <c r="B222">
        <f>VLOOKUP(B219,Tabelle3!$A$2:$E$33,4,FALSE)</f>
        <v>7</v>
      </c>
      <c r="D222" t="str">
        <f t="shared" ref="D222:D285" si="155">IF(ISNUMBER(B222),(A222&amp;B222),"")</f>
        <v xml:space="preserve">    "damageModifier": 7</v>
      </c>
    </row>
    <row r="223" spans="1:4" x14ac:dyDescent="0.55000000000000004">
      <c r="A223" t="s">
        <v>6</v>
      </c>
      <c r="D223" t="str">
        <f t="shared" ref="D223:D286" si="156">A223</f>
        <v xml:space="preserve">  },</v>
      </c>
    </row>
    <row r="224" spans="1:4" x14ac:dyDescent="0.55000000000000004">
      <c r="A224" t="s">
        <v>24</v>
      </c>
      <c r="D224" t="str">
        <f t="shared" si="156"/>
        <v xml:space="preserve">  "2-30": {</v>
      </c>
    </row>
    <row r="225" spans="1:4" x14ac:dyDescent="0.55000000000000004">
      <c r="A225" t="s">
        <v>13</v>
      </c>
      <c r="B225">
        <f t="shared" ref="B225" si="157">_xlfn.NUMBERVALUE(RIGHT(A225,2))</f>
        <v>49</v>
      </c>
      <c r="D225" t="str">
        <f t="shared" ref="D225:D288" si="158">A225&amp;","</f>
        <v xml:space="preserve">    "resultPage": 49,</v>
      </c>
    </row>
    <row r="226" spans="1:4" x14ac:dyDescent="0.55000000000000004">
      <c r="A226" t="s">
        <v>763</v>
      </c>
      <c r="B226" t="str">
        <f>VLOOKUP(B225,Tabelle3!$A$2:$E$33,3,FALSE)</f>
        <v>Parrying Low</v>
      </c>
      <c r="C226" t="s">
        <v>762</v>
      </c>
      <c r="D226" t="str">
        <f t="shared" ref="D226" si="159">_xlfn.CONCAT(A226:C226)</f>
        <v xml:space="preserve">    "message":  "Parrying Low",</v>
      </c>
    </row>
    <row r="227" spans="1:4" x14ac:dyDescent="0.55000000000000004">
      <c r="A227" t="s">
        <v>764</v>
      </c>
      <c r="B227" t="str">
        <f>VLOOKUP(B225,Tabelle3!$A$2:$E$33,5,FALSE)</f>
        <v/>
      </c>
      <c r="C227" t="s">
        <v>762</v>
      </c>
      <c r="D227" t="str">
        <f t="shared" si="154"/>
        <v xml:space="preserve">    "nextInstruction":  "",</v>
      </c>
    </row>
    <row r="228" spans="1:4" x14ac:dyDescent="0.55000000000000004">
      <c r="A228" t="s">
        <v>765</v>
      </c>
      <c r="B228">
        <f>VLOOKUP(B225,Tabelle3!$A$2:$E$33,4,FALSE)</f>
        <v>-4</v>
      </c>
      <c r="D228" t="str">
        <f t="shared" ref="D228:D291" si="160">IF(ISNUMBER(B228),(A228&amp;B228),"")</f>
        <v xml:space="preserve">    "damageModifier": -4</v>
      </c>
    </row>
    <row r="229" spans="1:4" x14ac:dyDescent="0.55000000000000004">
      <c r="A229" t="s">
        <v>6</v>
      </c>
      <c r="D229" t="str">
        <f t="shared" ref="D229:D292" si="161">A229</f>
        <v xml:space="preserve">  },</v>
      </c>
    </row>
    <row r="230" spans="1:4" x14ac:dyDescent="0.55000000000000004">
      <c r="A230" t="s">
        <v>25</v>
      </c>
      <c r="D230" t="str">
        <f t="shared" si="161"/>
        <v xml:space="preserve">  "2-32": {</v>
      </c>
    </row>
    <row r="231" spans="1:4" x14ac:dyDescent="0.55000000000000004">
      <c r="A231" t="s">
        <v>5</v>
      </c>
      <c r="B231">
        <f t="shared" ref="B231" si="162">_xlfn.NUMBERVALUE(RIGHT(A231,2))</f>
        <v>5</v>
      </c>
      <c r="D231" t="str">
        <f t="shared" ref="D231:D294" si="163">A231&amp;","</f>
        <v xml:space="preserve">    "resultPage": 5,</v>
      </c>
    </row>
    <row r="232" spans="1:4" x14ac:dyDescent="0.55000000000000004">
      <c r="A232" t="s">
        <v>763</v>
      </c>
      <c r="B232" t="str">
        <f>VLOOKUP(B231,Tabelle3!$A$2:$E$33,3,FALSE)</f>
        <v>Swinging Low</v>
      </c>
      <c r="C232" t="s">
        <v>762</v>
      </c>
      <c r="D232" t="str">
        <f t="shared" ref="D232" si="164">_xlfn.CONCAT(A232:C232)</f>
        <v xml:space="preserve">    "message":  "Swinging Low",</v>
      </c>
    </row>
    <row r="233" spans="1:4" x14ac:dyDescent="0.55000000000000004">
      <c r="A233" t="s">
        <v>764</v>
      </c>
      <c r="B233" t="str">
        <f>VLOOKUP(B231,Tabelle3!$A$2:$E$33,5,FALSE)</f>
        <v>No Blue</v>
      </c>
      <c r="C233" t="s">
        <v>762</v>
      </c>
      <c r="D233" t="str">
        <f t="shared" si="154"/>
        <v xml:space="preserve">    "nextInstruction":  "No Blue",</v>
      </c>
    </row>
    <row r="234" spans="1:4" x14ac:dyDescent="0.55000000000000004">
      <c r="A234" t="s">
        <v>765</v>
      </c>
      <c r="B234" t="str">
        <f>VLOOKUP(B231,Tabelle3!$A$2:$E$33,4,FALSE)</f>
        <v>""</v>
      </c>
      <c r="D234" t="str">
        <f t="shared" ref="D234:D297" si="165">IF(ISNUMBER(B234),(A234&amp;B234),"")</f>
        <v/>
      </c>
    </row>
    <row r="235" spans="1:4" x14ac:dyDescent="0.55000000000000004">
      <c r="A235" t="s">
        <v>6</v>
      </c>
      <c r="D235" t="str">
        <f t="shared" ref="D235:D298" si="166">A235</f>
        <v xml:space="preserve">  },</v>
      </c>
    </row>
    <row r="236" spans="1:4" x14ac:dyDescent="0.55000000000000004">
      <c r="A236" t="s">
        <v>26</v>
      </c>
      <c r="D236" t="str">
        <f t="shared" si="166"/>
        <v xml:space="preserve">  "2-34": {</v>
      </c>
    </row>
    <row r="237" spans="1:4" x14ac:dyDescent="0.55000000000000004">
      <c r="A237" t="s">
        <v>5</v>
      </c>
      <c r="B237">
        <f t="shared" ref="B237" si="167">_xlfn.NUMBERVALUE(RIGHT(A237,2))</f>
        <v>5</v>
      </c>
      <c r="D237" t="str">
        <f t="shared" ref="D237:D300" si="168">A237&amp;","</f>
        <v xml:space="preserve">    "resultPage": 5,</v>
      </c>
    </row>
    <row r="238" spans="1:4" x14ac:dyDescent="0.55000000000000004">
      <c r="A238" t="s">
        <v>763</v>
      </c>
      <c r="B238" t="str">
        <f>VLOOKUP(B237,Tabelle3!$A$2:$E$33,3,FALSE)</f>
        <v>Swinging Low</v>
      </c>
      <c r="C238" t="s">
        <v>762</v>
      </c>
      <c r="D238" t="str">
        <f t="shared" ref="D238" si="169">_xlfn.CONCAT(A238:C238)</f>
        <v xml:space="preserve">    "message":  "Swinging Low",</v>
      </c>
    </row>
    <row r="239" spans="1:4" x14ac:dyDescent="0.55000000000000004">
      <c r="A239" t="s">
        <v>764</v>
      </c>
      <c r="B239" t="str">
        <f>VLOOKUP(B237,Tabelle3!$A$2:$E$33,5,FALSE)</f>
        <v>No Blue</v>
      </c>
      <c r="C239" t="s">
        <v>762</v>
      </c>
      <c r="D239" t="str">
        <f t="shared" si="154"/>
        <v xml:space="preserve">    "nextInstruction":  "No Blue",</v>
      </c>
    </row>
    <row r="240" spans="1:4" x14ac:dyDescent="0.55000000000000004">
      <c r="A240" t="s">
        <v>765</v>
      </c>
      <c r="B240" t="str">
        <f>VLOOKUP(B237,Tabelle3!$A$2:$E$33,4,FALSE)</f>
        <v>""</v>
      </c>
      <c r="D240" t="str">
        <f t="shared" ref="D240:D303" si="170">IF(ISNUMBER(B240),(A240&amp;B240),"")</f>
        <v/>
      </c>
    </row>
    <row r="241" spans="1:4" x14ac:dyDescent="0.55000000000000004">
      <c r="A241" t="s">
        <v>6</v>
      </c>
      <c r="D241" t="str">
        <f t="shared" ref="D241:D304" si="171">A241</f>
        <v xml:space="preserve">  },</v>
      </c>
    </row>
    <row r="242" spans="1:4" x14ac:dyDescent="0.55000000000000004">
      <c r="A242" t="s">
        <v>27</v>
      </c>
      <c r="D242" t="str">
        <f t="shared" si="171"/>
        <v xml:space="preserve">  "2-36": {</v>
      </c>
    </row>
    <row r="243" spans="1:4" x14ac:dyDescent="0.55000000000000004">
      <c r="A243" t="s">
        <v>5</v>
      </c>
      <c r="B243">
        <f t="shared" ref="B243" si="172">_xlfn.NUMBERVALUE(RIGHT(A243,2))</f>
        <v>5</v>
      </c>
      <c r="D243" t="str">
        <f t="shared" ref="D243:D306" si="173">A243&amp;","</f>
        <v xml:space="preserve">    "resultPage": 5,</v>
      </c>
    </row>
    <row r="244" spans="1:4" x14ac:dyDescent="0.55000000000000004">
      <c r="A244" t="s">
        <v>763</v>
      </c>
      <c r="B244" t="str">
        <f>VLOOKUP(B243,Tabelle3!$A$2:$E$33,3,FALSE)</f>
        <v>Swinging Low</v>
      </c>
      <c r="C244" t="s">
        <v>762</v>
      </c>
      <c r="D244" t="str">
        <f t="shared" ref="D244" si="174">_xlfn.CONCAT(A244:C244)</f>
        <v xml:space="preserve">    "message":  "Swinging Low",</v>
      </c>
    </row>
    <row r="245" spans="1:4" x14ac:dyDescent="0.55000000000000004">
      <c r="A245" t="s">
        <v>764</v>
      </c>
      <c r="B245" t="str">
        <f>VLOOKUP(B243,Tabelle3!$A$2:$E$33,5,FALSE)</f>
        <v>No Blue</v>
      </c>
      <c r="C245" t="s">
        <v>762</v>
      </c>
      <c r="D245" t="str">
        <f t="shared" si="154"/>
        <v xml:space="preserve">    "nextInstruction":  "No Blue",</v>
      </c>
    </row>
    <row r="246" spans="1:4" x14ac:dyDescent="0.55000000000000004">
      <c r="A246" t="s">
        <v>765</v>
      </c>
      <c r="B246" t="str">
        <f>VLOOKUP(B243,Tabelle3!$A$2:$E$33,4,FALSE)</f>
        <v>""</v>
      </c>
      <c r="D246" t="str">
        <f t="shared" ref="D246:D309" si="175">IF(ISNUMBER(B246),(A246&amp;B246),"")</f>
        <v/>
      </c>
    </row>
    <row r="247" spans="1:4" x14ac:dyDescent="0.55000000000000004">
      <c r="A247" t="s">
        <v>6</v>
      </c>
      <c r="D247" t="str">
        <f t="shared" ref="D247:D310" si="176">A247</f>
        <v xml:space="preserve">  },</v>
      </c>
    </row>
    <row r="248" spans="1:4" x14ac:dyDescent="0.55000000000000004">
      <c r="A248" t="s">
        <v>28</v>
      </c>
      <c r="D248" t="str">
        <f t="shared" si="176"/>
        <v xml:space="preserve">  "2-38": {</v>
      </c>
    </row>
    <row r="249" spans="1:4" x14ac:dyDescent="0.55000000000000004">
      <c r="A249" t="s">
        <v>10</v>
      </c>
      <c r="B249">
        <f t="shared" ref="B249" si="177">_xlfn.NUMBERVALUE(RIGHT(A249,2))</f>
        <v>31</v>
      </c>
      <c r="D249" t="str">
        <f t="shared" ref="D249:D312" si="178">A249&amp;","</f>
        <v xml:space="preserve">    "resultPage": 31,</v>
      </c>
    </row>
    <row r="250" spans="1:4" x14ac:dyDescent="0.55000000000000004">
      <c r="A250" t="s">
        <v>763</v>
      </c>
      <c r="B250" t="str">
        <f>VLOOKUP(B249,Tabelle3!$A$2:$E$33,3,FALSE)</f>
        <v>Arm Wound</v>
      </c>
      <c r="C250" t="s">
        <v>762</v>
      </c>
      <c r="D250" t="str">
        <f t="shared" ref="D250" si="179">_xlfn.CONCAT(A250:C250)</f>
        <v xml:space="preserve">    "message":  "Arm Wound",</v>
      </c>
    </row>
    <row r="251" spans="1:4" x14ac:dyDescent="0.55000000000000004">
      <c r="A251" t="s">
        <v>764</v>
      </c>
      <c r="B251" t="str">
        <f>VLOOKUP(B249,Tabelle3!$A$2:$E$33,5,FALSE)</f>
        <v>No Orange</v>
      </c>
      <c r="C251" t="s">
        <v>762</v>
      </c>
      <c r="D251" t="str">
        <f t="shared" si="154"/>
        <v xml:space="preserve">    "nextInstruction":  "No Orange",</v>
      </c>
    </row>
    <row r="252" spans="1:4" x14ac:dyDescent="0.55000000000000004">
      <c r="A252" t="s">
        <v>765</v>
      </c>
      <c r="B252">
        <f>VLOOKUP(B249,Tabelle3!$A$2:$E$33,4,FALSE)</f>
        <v>3</v>
      </c>
      <c r="D252" t="str">
        <f t="shared" ref="D252:D315" si="180">IF(ISNUMBER(B252),(A252&amp;B252),"")</f>
        <v xml:space="preserve">    "damageModifier": 3</v>
      </c>
    </row>
    <row r="253" spans="1:4" x14ac:dyDescent="0.55000000000000004">
      <c r="A253" t="s">
        <v>6</v>
      </c>
      <c r="D253" t="str">
        <f t="shared" ref="D253:D316" si="181">A253</f>
        <v xml:space="preserve">  },</v>
      </c>
    </row>
    <row r="254" spans="1:4" x14ac:dyDescent="0.55000000000000004">
      <c r="A254" t="s">
        <v>29</v>
      </c>
      <c r="D254" t="str">
        <f t="shared" si="181"/>
        <v xml:space="preserve">  "2-40": {</v>
      </c>
    </row>
    <row r="255" spans="1:4" x14ac:dyDescent="0.55000000000000004">
      <c r="A255" t="s">
        <v>13</v>
      </c>
      <c r="B255">
        <f t="shared" ref="B255" si="182">_xlfn.NUMBERVALUE(RIGHT(A255,2))</f>
        <v>49</v>
      </c>
      <c r="D255" t="str">
        <f t="shared" ref="D255:D318" si="183">A255&amp;","</f>
        <v xml:space="preserve">    "resultPage": 49,</v>
      </c>
    </row>
    <row r="256" spans="1:4" x14ac:dyDescent="0.55000000000000004">
      <c r="A256" t="s">
        <v>763</v>
      </c>
      <c r="B256" t="str">
        <f>VLOOKUP(B255,Tabelle3!$A$2:$E$33,3,FALSE)</f>
        <v>Parrying Low</v>
      </c>
      <c r="C256" t="s">
        <v>762</v>
      </c>
      <c r="D256" t="str">
        <f t="shared" ref="D256" si="184">_xlfn.CONCAT(A256:C256)</f>
        <v xml:space="preserve">    "message":  "Parrying Low",</v>
      </c>
    </row>
    <row r="257" spans="1:4" x14ac:dyDescent="0.55000000000000004">
      <c r="A257" t="s">
        <v>764</v>
      </c>
      <c r="B257" t="str">
        <f>VLOOKUP(B255,Tabelle3!$A$2:$E$33,5,FALSE)</f>
        <v/>
      </c>
      <c r="C257" t="s">
        <v>762</v>
      </c>
      <c r="D257" t="str">
        <f t="shared" si="154"/>
        <v xml:space="preserve">    "nextInstruction":  "",</v>
      </c>
    </row>
    <row r="258" spans="1:4" x14ac:dyDescent="0.55000000000000004">
      <c r="A258" t="s">
        <v>765</v>
      </c>
      <c r="B258">
        <f>VLOOKUP(B255,Tabelle3!$A$2:$E$33,4,FALSE)</f>
        <v>-4</v>
      </c>
      <c r="D258" t="str">
        <f t="shared" ref="D258:D321" si="185">IF(ISNUMBER(B258),(A258&amp;B258),"")</f>
        <v xml:space="preserve">    "damageModifier": -4</v>
      </c>
    </row>
    <row r="259" spans="1:4" x14ac:dyDescent="0.55000000000000004">
      <c r="A259" t="s">
        <v>6</v>
      </c>
      <c r="D259" t="str">
        <f t="shared" ref="D259:D322" si="186">A259</f>
        <v xml:space="preserve">  },</v>
      </c>
    </row>
    <row r="260" spans="1:4" x14ac:dyDescent="0.55000000000000004">
      <c r="A260" t="s">
        <v>30</v>
      </c>
      <c r="D260" t="str">
        <f t="shared" si="186"/>
        <v xml:space="preserve">  "2-42": {</v>
      </c>
    </row>
    <row r="261" spans="1:4" x14ac:dyDescent="0.55000000000000004">
      <c r="A261" t="s">
        <v>13</v>
      </c>
      <c r="B261">
        <f t="shared" ref="B261" si="187">_xlfn.NUMBERVALUE(RIGHT(A261,2))</f>
        <v>49</v>
      </c>
      <c r="D261" t="str">
        <f t="shared" ref="D261:D324" si="188">A261&amp;","</f>
        <v xml:space="preserve">    "resultPage": 49,</v>
      </c>
    </row>
    <row r="262" spans="1:4" x14ac:dyDescent="0.55000000000000004">
      <c r="A262" t="s">
        <v>763</v>
      </c>
      <c r="B262" t="str">
        <f>VLOOKUP(B261,Tabelle3!$A$2:$E$33,3,FALSE)</f>
        <v>Parrying Low</v>
      </c>
      <c r="C262" t="s">
        <v>762</v>
      </c>
      <c r="D262" t="str">
        <f t="shared" ref="D262" si="189">_xlfn.CONCAT(A262:C262)</f>
        <v xml:space="preserve">    "message":  "Parrying Low",</v>
      </c>
    </row>
    <row r="263" spans="1:4" x14ac:dyDescent="0.55000000000000004">
      <c r="A263" t="s">
        <v>764</v>
      </c>
      <c r="B263" t="str">
        <f>VLOOKUP(B261,Tabelle3!$A$2:$E$33,5,FALSE)</f>
        <v/>
      </c>
      <c r="C263" t="s">
        <v>762</v>
      </c>
      <c r="D263" t="str">
        <f t="shared" si="154"/>
        <v xml:space="preserve">    "nextInstruction":  "",</v>
      </c>
    </row>
    <row r="264" spans="1:4" x14ac:dyDescent="0.55000000000000004">
      <c r="A264" t="s">
        <v>765</v>
      </c>
      <c r="B264">
        <f>VLOOKUP(B261,Tabelle3!$A$2:$E$33,4,FALSE)</f>
        <v>-4</v>
      </c>
      <c r="D264" t="str">
        <f t="shared" ref="D264:D327" si="190">IF(ISNUMBER(B264),(A264&amp;B264),"")</f>
        <v xml:space="preserve">    "damageModifier": -4</v>
      </c>
    </row>
    <row r="265" spans="1:4" x14ac:dyDescent="0.55000000000000004">
      <c r="A265" t="s">
        <v>6</v>
      </c>
      <c r="D265" t="str">
        <f t="shared" ref="D265:D328" si="191">A265</f>
        <v xml:space="preserve">  },</v>
      </c>
    </row>
    <row r="266" spans="1:4" x14ac:dyDescent="0.55000000000000004">
      <c r="A266" t="s">
        <v>31</v>
      </c>
      <c r="D266" t="str">
        <f t="shared" si="191"/>
        <v xml:space="preserve">  "2-44": {</v>
      </c>
    </row>
    <row r="267" spans="1:4" x14ac:dyDescent="0.55000000000000004">
      <c r="A267" t="s">
        <v>5</v>
      </c>
      <c r="B267">
        <f t="shared" ref="B267" si="192">_xlfn.NUMBERVALUE(RIGHT(A267,2))</f>
        <v>5</v>
      </c>
      <c r="D267" t="str">
        <f t="shared" ref="D267:D330" si="193">A267&amp;","</f>
        <v xml:space="preserve">    "resultPage": 5,</v>
      </c>
    </row>
    <row r="268" spans="1:4" x14ac:dyDescent="0.55000000000000004">
      <c r="A268" t="s">
        <v>763</v>
      </c>
      <c r="B268" t="str">
        <f>VLOOKUP(B267,Tabelle3!$A$2:$E$33,3,FALSE)</f>
        <v>Swinging Low</v>
      </c>
      <c r="C268" t="s">
        <v>762</v>
      </c>
      <c r="D268" t="str">
        <f t="shared" ref="D268" si="194">_xlfn.CONCAT(A268:C268)</f>
        <v xml:space="preserve">    "message":  "Swinging Low",</v>
      </c>
    </row>
    <row r="269" spans="1:4" x14ac:dyDescent="0.55000000000000004">
      <c r="A269" t="s">
        <v>764</v>
      </c>
      <c r="B269" t="str">
        <f>VLOOKUP(B267,Tabelle3!$A$2:$E$33,5,FALSE)</f>
        <v>No Blue</v>
      </c>
      <c r="C269" t="s">
        <v>762</v>
      </c>
      <c r="D269" t="str">
        <f t="shared" si="154"/>
        <v xml:space="preserve">    "nextInstruction":  "No Blue",</v>
      </c>
    </row>
    <row r="270" spans="1:4" x14ac:dyDescent="0.55000000000000004">
      <c r="A270" t="s">
        <v>765</v>
      </c>
      <c r="B270" t="str">
        <f>VLOOKUP(B267,Tabelle3!$A$2:$E$33,4,FALSE)</f>
        <v>""</v>
      </c>
      <c r="D270" t="str">
        <f t="shared" ref="D270:D333" si="195">IF(ISNUMBER(B270),(A270&amp;B270),"")</f>
        <v/>
      </c>
    </row>
    <row r="271" spans="1:4" x14ac:dyDescent="0.55000000000000004">
      <c r="A271" t="s">
        <v>6</v>
      </c>
      <c r="D271" t="str">
        <f t="shared" ref="D271:D334" si="196">A271</f>
        <v xml:space="preserve">  },</v>
      </c>
    </row>
    <row r="272" spans="1:4" x14ac:dyDescent="0.55000000000000004">
      <c r="A272" t="s">
        <v>32</v>
      </c>
      <c r="D272" t="str">
        <f t="shared" si="196"/>
        <v xml:space="preserve">  "2-46": {</v>
      </c>
    </row>
    <row r="273" spans="1:4" x14ac:dyDescent="0.55000000000000004">
      <c r="A273" t="s">
        <v>5</v>
      </c>
      <c r="B273">
        <f t="shared" ref="B273" si="197">_xlfn.NUMBERVALUE(RIGHT(A273,2))</f>
        <v>5</v>
      </c>
      <c r="D273" t="str">
        <f t="shared" ref="D273:D336" si="198">A273&amp;","</f>
        <v xml:space="preserve">    "resultPage": 5,</v>
      </c>
    </row>
    <row r="274" spans="1:4" x14ac:dyDescent="0.55000000000000004">
      <c r="A274" t="s">
        <v>763</v>
      </c>
      <c r="B274" t="str">
        <f>VLOOKUP(B273,Tabelle3!$A$2:$E$33,3,FALSE)</f>
        <v>Swinging Low</v>
      </c>
      <c r="C274" t="s">
        <v>762</v>
      </c>
      <c r="D274" t="str">
        <f t="shared" ref="D274" si="199">_xlfn.CONCAT(A274:C274)</f>
        <v xml:space="preserve">    "message":  "Swinging Low",</v>
      </c>
    </row>
    <row r="275" spans="1:4" x14ac:dyDescent="0.55000000000000004">
      <c r="A275" t="s">
        <v>764</v>
      </c>
      <c r="B275" t="str">
        <f>VLOOKUP(B273,Tabelle3!$A$2:$E$33,5,FALSE)</f>
        <v>No Blue</v>
      </c>
      <c r="C275" t="s">
        <v>762</v>
      </c>
      <c r="D275" t="str">
        <f t="shared" si="154"/>
        <v xml:space="preserve">    "nextInstruction":  "No Blue",</v>
      </c>
    </row>
    <row r="276" spans="1:4" x14ac:dyDescent="0.55000000000000004">
      <c r="A276" t="s">
        <v>765</v>
      </c>
      <c r="B276" t="str">
        <f>VLOOKUP(B273,Tabelle3!$A$2:$E$33,4,FALSE)</f>
        <v>""</v>
      </c>
      <c r="D276" t="str">
        <f t="shared" ref="D276:D339" si="200">IF(ISNUMBER(B276),(A276&amp;B276),"")</f>
        <v/>
      </c>
    </row>
    <row r="277" spans="1:4" x14ac:dyDescent="0.55000000000000004">
      <c r="A277" t="s">
        <v>6</v>
      </c>
      <c r="D277" t="str">
        <f t="shared" ref="D277:D340" si="201">A277</f>
        <v xml:space="preserve">  },</v>
      </c>
    </row>
    <row r="278" spans="1:4" x14ac:dyDescent="0.55000000000000004">
      <c r="A278" t="s">
        <v>33</v>
      </c>
      <c r="D278" t="str">
        <f t="shared" si="201"/>
        <v xml:space="preserve">  "2-48": {</v>
      </c>
    </row>
    <row r="279" spans="1:4" x14ac:dyDescent="0.55000000000000004">
      <c r="A279" t="s">
        <v>5</v>
      </c>
      <c r="B279">
        <f t="shared" ref="B279" si="202">_xlfn.NUMBERVALUE(RIGHT(A279,2))</f>
        <v>5</v>
      </c>
      <c r="D279" t="str">
        <f t="shared" ref="D279:D342" si="203">A279&amp;","</f>
        <v xml:space="preserve">    "resultPage": 5,</v>
      </c>
    </row>
    <row r="280" spans="1:4" x14ac:dyDescent="0.55000000000000004">
      <c r="A280" t="s">
        <v>763</v>
      </c>
      <c r="B280" t="str">
        <f>VLOOKUP(B279,Tabelle3!$A$2:$E$33,3,FALSE)</f>
        <v>Swinging Low</v>
      </c>
      <c r="C280" t="s">
        <v>762</v>
      </c>
      <c r="D280" t="str">
        <f t="shared" ref="D280" si="204">_xlfn.CONCAT(A280:C280)</f>
        <v xml:space="preserve">    "message":  "Swinging Low",</v>
      </c>
    </row>
    <row r="281" spans="1:4" x14ac:dyDescent="0.55000000000000004">
      <c r="A281" t="s">
        <v>764</v>
      </c>
      <c r="B281" t="str">
        <f>VLOOKUP(B279,Tabelle3!$A$2:$E$33,5,FALSE)</f>
        <v>No Blue</v>
      </c>
      <c r="C281" t="s">
        <v>762</v>
      </c>
      <c r="D281" t="str">
        <f t="shared" si="154"/>
        <v xml:space="preserve">    "nextInstruction":  "No Blue",</v>
      </c>
    </row>
    <row r="282" spans="1:4" x14ac:dyDescent="0.55000000000000004">
      <c r="A282" t="s">
        <v>765</v>
      </c>
      <c r="B282" t="str">
        <f>VLOOKUP(B279,Tabelle3!$A$2:$E$33,4,FALSE)</f>
        <v>""</v>
      </c>
      <c r="D282" t="str">
        <f t="shared" ref="D282:D345" si="205">IF(ISNUMBER(B282),(A282&amp;B282),"")</f>
        <v/>
      </c>
    </row>
    <row r="283" spans="1:4" x14ac:dyDescent="0.55000000000000004">
      <c r="A283" t="s">
        <v>6</v>
      </c>
      <c r="D283" t="str">
        <f t="shared" ref="D283:D346" si="206">A283</f>
        <v xml:space="preserve">  },</v>
      </c>
    </row>
    <row r="284" spans="1:4" x14ac:dyDescent="0.55000000000000004">
      <c r="A284" t="s">
        <v>34</v>
      </c>
      <c r="D284" t="str">
        <f t="shared" si="206"/>
        <v xml:space="preserve">  "4-4": {</v>
      </c>
    </row>
    <row r="285" spans="1:4" x14ac:dyDescent="0.55000000000000004">
      <c r="A285" t="s">
        <v>35</v>
      </c>
      <c r="B285">
        <f t="shared" ref="B285" si="207">_xlfn.NUMBERVALUE(RIGHT(A285,2))</f>
        <v>59</v>
      </c>
      <c r="D285" t="str">
        <f t="shared" ref="D285:D348" si="208">A285&amp;","</f>
        <v xml:space="preserve">    "resultPage": 59,</v>
      </c>
    </row>
    <row r="286" spans="1:4" x14ac:dyDescent="0.55000000000000004">
      <c r="A286" t="s">
        <v>763</v>
      </c>
      <c r="B286" t="str">
        <f>VLOOKUP(B285,Tabelle3!$A$2:$E$33,3,FALSE)</f>
        <v>Pushed off Balance</v>
      </c>
      <c r="C286" t="s">
        <v>762</v>
      </c>
      <c r="D286" t="str">
        <f t="shared" ref="D286:D347" si="209">_xlfn.CONCAT(A286:C286)</f>
        <v xml:space="preserve">    "message":  "Pushed off Balance",</v>
      </c>
    </row>
    <row r="287" spans="1:4" x14ac:dyDescent="0.55000000000000004">
      <c r="A287" t="s">
        <v>764</v>
      </c>
      <c r="B287" t="str">
        <f>VLOOKUP(B285,Tabelle3!$A$2:$E$33,5,FALSE)</f>
        <v>Only Green Only Yellow</v>
      </c>
      <c r="C287" t="s">
        <v>762</v>
      </c>
      <c r="D287" t="str">
        <f t="shared" si="209"/>
        <v xml:space="preserve">    "nextInstruction":  "Only Green Only Yellow",</v>
      </c>
    </row>
    <row r="288" spans="1:4" x14ac:dyDescent="0.55000000000000004">
      <c r="A288" t="s">
        <v>765</v>
      </c>
      <c r="B288">
        <f>VLOOKUP(B285,Tabelle3!$A$2:$E$33,4,FALSE)</f>
        <v>0</v>
      </c>
      <c r="D288" t="str">
        <f t="shared" ref="D288:D351" si="210">IF(ISNUMBER(B288),(A288&amp;B288),"")</f>
        <v xml:space="preserve">    "damageModifier": 0</v>
      </c>
    </row>
    <row r="289" spans="1:4" x14ac:dyDescent="0.55000000000000004">
      <c r="A289" t="s">
        <v>6</v>
      </c>
      <c r="D289" t="str">
        <f t="shared" ref="D289:D352" si="211">A289</f>
        <v xml:space="preserve">  },</v>
      </c>
    </row>
    <row r="290" spans="1:4" x14ac:dyDescent="0.55000000000000004">
      <c r="A290" t="s">
        <v>36</v>
      </c>
      <c r="D290" t="str">
        <f t="shared" si="211"/>
        <v xml:space="preserve">  "4-6": {</v>
      </c>
    </row>
    <row r="291" spans="1:4" x14ac:dyDescent="0.55000000000000004">
      <c r="A291" t="s">
        <v>37</v>
      </c>
      <c r="B291">
        <f t="shared" ref="B291" si="212">_xlfn.NUMBERVALUE(RIGHT(A291,2))</f>
        <v>63</v>
      </c>
      <c r="D291" t="str">
        <f t="shared" ref="D291:D354" si="213">A291&amp;","</f>
        <v xml:space="preserve">    "resultPage": 63,</v>
      </c>
    </row>
    <row r="292" spans="1:4" x14ac:dyDescent="0.55000000000000004">
      <c r="A292" t="s">
        <v>763</v>
      </c>
      <c r="B292" t="str">
        <f>VLOOKUP(B291,Tabelle3!$A$2:$E$33,3,FALSE)</f>
        <v>Blocking Low</v>
      </c>
      <c r="C292" t="s">
        <v>762</v>
      </c>
      <c r="D292" t="str">
        <f t="shared" ref="D292" si="214">_xlfn.CONCAT(A292:C292)</f>
        <v xml:space="preserve">    "message":  "Blocking Low",</v>
      </c>
    </row>
    <row r="293" spans="1:4" x14ac:dyDescent="0.55000000000000004">
      <c r="A293" t="s">
        <v>764</v>
      </c>
      <c r="B293" t="str">
        <f>VLOOKUP(B291,Tabelle3!$A$2:$E$33,5,FALSE)</f>
        <v>No Orange</v>
      </c>
      <c r="C293" t="s">
        <v>762</v>
      </c>
      <c r="D293" t="str">
        <f t="shared" si="209"/>
        <v xml:space="preserve">    "nextInstruction":  "No Orange",</v>
      </c>
    </row>
    <row r="294" spans="1:4" x14ac:dyDescent="0.55000000000000004">
      <c r="A294" t="s">
        <v>765</v>
      </c>
      <c r="B294">
        <f>VLOOKUP(B291,Tabelle3!$A$2:$E$33,4,FALSE)</f>
        <v>-4</v>
      </c>
      <c r="D294" t="str">
        <f t="shared" ref="D294:D357" si="215">IF(ISNUMBER(B294),(A294&amp;B294),"")</f>
        <v xml:space="preserve">    "damageModifier": -4</v>
      </c>
    </row>
    <row r="295" spans="1:4" x14ac:dyDescent="0.55000000000000004">
      <c r="A295" t="s">
        <v>6</v>
      </c>
      <c r="D295" t="str">
        <f t="shared" ref="D295:D358" si="216">A295</f>
        <v xml:space="preserve">  },</v>
      </c>
    </row>
    <row r="296" spans="1:4" x14ac:dyDescent="0.55000000000000004">
      <c r="A296" t="s">
        <v>38</v>
      </c>
      <c r="D296" t="str">
        <f t="shared" si="216"/>
        <v xml:space="preserve">  "4-8": {</v>
      </c>
    </row>
    <row r="297" spans="1:4" x14ac:dyDescent="0.55000000000000004">
      <c r="A297" t="s">
        <v>37</v>
      </c>
      <c r="B297">
        <f t="shared" ref="B297" si="217">_xlfn.NUMBERVALUE(RIGHT(A297,2))</f>
        <v>63</v>
      </c>
      <c r="D297" t="str">
        <f t="shared" ref="D297:D360" si="218">A297&amp;","</f>
        <v xml:space="preserve">    "resultPage": 63,</v>
      </c>
    </row>
    <row r="298" spans="1:4" x14ac:dyDescent="0.55000000000000004">
      <c r="A298" t="s">
        <v>763</v>
      </c>
      <c r="B298" t="str">
        <f>VLOOKUP(B297,Tabelle3!$A$2:$E$33,3,FALSE)</f>
        <v>Blocking Low</v>
      </c>
      <c r="C298" t="s">
        <v>762</v>
      </c>
      <c r="D298" t="str">
        <f t="shared" ref="D298" si="219">_xlfn.CONCAT(A298:C298)</f>
        <v xml:space="preserve">    "message":  "Blocking Low",</v>
      </c>
    </row>
    <row r="299" spans="1:4" x14ac:dyDescent="0.55000000000000004">
      <c r="A299" t="s">
        <v>764</v>
      </c>
      <c r="B299" t="str">
        <f>VLOOKUP(B297,Tabelle3!$A$2:$E$33,5,FALSE)</f>
        <v>No Orange</v>
      </c>
      <c r="C299" t="s">
        <v>762</v>
      </c>
      <c r="D299" t="str">
        <f t="shared" si="209"/>
        <v xml:space="preserve">    "nextInstruction":  "No Orange",</v>
      </c>
    </row>
    <row r="300" spans="1:4" x14ac:dyDescent="0.55000000000000004">
      <c r="A300" t="s">
        <v>765</v>
      </c>
      <c r="B300">
        <f>VLOOKUP(B297,Tabelle3!$A$2:$E$33,4,FALSE)</f>
        <v>-4</v>
      </c>
      <c r="D300" t="str">
        <f t="shared" ref="D300:D363" si="220">IF(ISNUMBER(B300),(A300&amp;B300),"")</f>
        <v xml:space="preserve">    "damageModifier": -4</v>
      </c>
    </row>
    <row r="301" spans="1:4" x14ac:dyDescent="0.55000000000000004">
      <c r="A301" t="s">
        <v>6</v>
      </c>
      <c r="D301" t="str">
        <f t="shared" ref="D301:D364" si="221">A301</f>
        <v xml:space="preserve">  },</v>
      </c>
    </row>
    <row r="302" spans="1:4" x14ac:dyDescent="0.55000000000000004">
      <c r="A302" t="s">
        <v>39</v>
      </c>
      <c r="D302" t="str">
        <f t="shared" si="221"/>
        <v xml:space="preserve">  "4-10": {</v>
      </c>
    </row>
    <row r="303" spans="1:4" x14ac:dyDescent="0.55000000000000004">
      <c r="A303" t="s">
        <v>20</v>
      </c>
      <c r="B303">
        <f t="shared" ref="B303" si="222">_xlfn.NUMBERVALUE(RIGHT(A303,2))</f>
        <v>53</v>
      </c>
      <c r="D303" t="str">
        <f t="shared" ref="D303:D366" si="223">A303&amp;","</f>
        <v xml:space="preserve">    "resultPage": 53,</v>
      </c>
    </row>
    <row r="304" spans="1:4" x14ac:dyDescent="0.55000000000000004">
      <c r="A304" t="s">
        <v>763</v>
      </c>
      <c r="B304" t="str">
        <f>VLOOKUP(B303,Tabelle3!$A$2:$E$33,3,FALSE)</f>
        <v>Body Wound</v>
      </c>
      <c r="C304" t="s">
        <v>762</v>
      </c>
      <c r="D304" t="str">
        <f t="shared" ref="D304" si="224">_xlfn.CONCAT(A304:C304)</f>
        <v xml:space="preserve">    "message":  "Body Wound",</v>
      </c>
    </row>
    <row r="305" spans="1:4" x14ac:dyDescent="0.55000000000000004">
      <c r="A305" t="s">
        <v>764</v>
      </c>
      <c r="B305" t="str">
        <f>VLOOKUP(B303,Tabelle3!$A$2:$E$33,5,FALSE)</f>
        <v>No Red No Orange</v>
      </c>
      <c r="C305" t="s">
        <v>762</v>
      </c>
      <c r="D305" t="str">
        <f t="shared" si="209"/>
        <v xml:space="preserve">    "nextInstruction":  "No Red No Orange",</v>
      </c>
    </row>
    <row r="306" spans="1:4" x14ac:dyDescent="0.55000000000000004">
      <c r="A306" t="s">
        <v>765</v>
      </c>
      <c r="B306">
        <f>VLOOKUP(B303,Tabelle3!$A$2:$E$33,4,FALSE)</f>
        <v>5</v>
      </c>
      <c r="D306" t="str">
        <f t="shared" ref="D306:D369" si="225">IF(ISNUMBER(B306),(A306&amp;B306),"")</f>
        <v xml:space="preserve">    "damageModifier": 5</v>
      </c>
    </row>
    <row r="307" spans="1:4" x14ac:dyDescent="0.55000000000000004">
      <c r="A307" t="s">
        <v>6</v>
      </c>
      <c r="D307" t="str">
        <f t="shared" ref="D307:D370" si="226">A307</f>
        <v xml:space="preserve">  },</v>
      </c>
    </row>
    <row r="308" spans="1:4" x14ac:dyDescent="0.55000000000000004">
      <c r="A308" t="s">
        <v>40</v>
      </c>
      <c r="D308" t="str">
        <f t="shared" si="226"/>
        <v xml:space="preserve">  "4-12": {</v>
      </c>
    </row>
    <row r="309" spans="1:4" x14ac:dyDescent="0.55000000000000004">
      <c r="A309" t="s">
        <v>37</v>
      </c>
      <c r="B309">
        <f t="shared" ref="B309" si="227">_xlfn.NUMBERVALUE(RIGHT(A309,2))</f>
        <v>63</v>
      </c>
      <c r="D309" t="str">
        <f t="shared" ref="D309:D372" si="228">A309&amp;","</f>
        <v xml:space="preserve">    "resultPage": 63,</v>
      </c>
    </row>
    <row r="310" spans="1:4" x14ac:dyDescent="0.55000000000000004">
      <c r="A310" t="s">
        <v>763</v>
      </c>
      <c r="B310" t="str">
        <f>VLOOKUP(B309,Tabelle3!$A$2:$E$33,3,FALSE)</f>
        <v>Blocking Low</v>
      </c>
      <c r="C310" t="s">
        <v>762</v>
      </c>
      <c r="D310" t="str">
        <f t="shared" ref="D310" si="229">_xlfn.CONCAT(A310:C310)</f>
        <v xml:space="preserve">    "message":  "Blocking Low",</v>
      </c>
    </row>
    <row r="311" spans="1:4" x14ac:dyDescent="0.55000000000000004">
      <c r="A311" t="s">
        <v>764</v>
      </c>
      <c r="B311" t="str">
        <f>VLOOKUP(B309,Tabelle3!$A$2:$E$33,5,FALSE)</f>
        <v>No Orange</v>
      </c>
      <c r="C311" t="s">
        <v>762</v>
      </c>
      <c r="D311" t="str">
        <f t="shared" si="209"/>
        <v xml:space="preserve">    "nextInstruction":  "No Orange",</v>
      </c>
    </row>
    <row r="312" spans="1:4" x14ac:dyDescent="0.55000000000000004">
      <c r="A312" t="s">
        <v>765</v>
      </c>
      <c r="B312">
        <f>VLOOKUP(B309,Tabelle3!$A$2:$E$33,4,FALSE)</f>
        <v>-4</v>
      </c>
      <c r="D312" t="str">
        <f t="shared" ref="D312:D375" si="230">IF(ISNUMBER(B312),(A312&amp;B312),"")</f>
        <v xml:space="preserve">    "damageModifier": -4</v>
      </c>
    </row>
    <row r="313" spans="1:4" x14ac:dyDescent="0.55000000000000004">
      <c r="A313" t="s">
        <v>6</v>
      </c>
      <c r="D313" t="str">
        <f t="shared" ref="D313:D376" si="231">A313</f>
        <v xml:space="preserve">  },</v>
      </c>
    </row>
    <row r="314" spans="1:4" x14ac:dyDescent="0.55000000000000004">
      <c r="A314" t="s">
        <v>41</v>
      </c>
      <c r="D314" t="str">
        <f t="shared" si="231"/>
        <v xml:space="preserve">  "4-14": {</v>
      </c>
    </row>
    <row r="315" spans="1:4" x14ac:dyDescent="0.55000000000000004">
      <c r="A315" t="s">
        <v>37</v>
      </c>
      <c r="B315">
        <f t="shared" ref="B315" si="232">_xlfn.NUMBERVALUE(RIGHT(A315,2))</f>
        <v>63</v>
      </c>
      <c r="D315" t="str">
        <f t="shared" ref="D315:D378" si="233">A315&amp;","</f>
        <v xml:space="preserve">    "resultPage": 63,</v>
      </c>
    </row>
    <row r="316" spans="1:4" x14ac:dyDescent="0.55000000000000004">
      <c r="A316" t="s">
        <v>763</v>
      </c>
      <c r="B316" t="str">
        <f>VLOOKUP(B315,Tabelle3!$A$2:$E$33,3,FALSE)</f>
        <v>Blocking Low</v>
      </c>
      <c r="C316" t="s">
        <v>762</v>
      </c>
      <c r="D316" t="str">
        <f t="shared" ref="D316" si="234">_xlfn.CONCAT(A316:C316)</f>
        <v xml:space="preserve">    "message":  "Blocking Low",</v>
      </c>
    </row>
    <row r="317" spans="1:4" x14ac:dyDescent="0.55000000000000004">
      <c r="A317" t="s">
        <v>764</v>
      </c>
      <c r="B317" t="str">
        <f>VLOOKUP(B315,Tabelle3!$A$2:$E$33,5,FALSE)</f>
        <v>No Orange</v>
      </c>
      <c r="C317" t="s">
        <v>762</v>
      </c>
      <c r="D317" t="str">
        <f t="shared" si="209"/>
        <v xml:space="preserve">    "nextInstruction":  "No Orange",</v>
      </c>
    </row>
    <row r="318" spans="1:4" x14ac:dyDescent="0.55000000000000004">
      <c r="A318" t="s">
        <v>765</v>
      </c>
      <c r="B318">
        <f>VLOOKUP(B315,Tabelle3!$A$2:$E$33,4,FALSE)</f>
        <v>-4</v>
      </c>
      <c r="D318" t="str">
        <f t="shared" ref="D318:D381" si="235">IF(ISNUMBER(B318),(A318&amp;B318),"")</f>
        <v xml:space="preserve">    "damageModifier": -4</v>
      </c>
    </row>
    <row r="319" spans="1:4" x14ac:dyDescent="0.55000000000000004">
      <c r="A319" t="s">
        <v>6</v>
      </c>
      <c r="D319" t="str">
        <f t="shared" ref="D319:D382" si="236">A319</f>
        <v xml:space="preserve">  },</v>
      </c>
    </row>
    <row r="320" spans="1:4" x14ac:dyDescent="0.55000000000000004">
      <c r="A320" t="s">
        <v>42</v>
      </c>
      <c r="D320" t="str">
        <f t="shared" si="236"/>
        <v xml:space="preserve">  "4-16": {</v>
      </c>
    </row>
    <row r="321" spans="1:4" x14ac:dyDescent="0.55000000000000004">
      <c r="A321" t="s">
        <v>15</v>
      </c>
      <c r="B321">
        <f t="shared" ref="B321" si="237">_xlfn.NUMBERVALUE(RIGHT(A321,2))</f>
        <v>57</v>
      </c>
      <c r="D321" t="str">
        <f t="shared" ref="D321:D384" si="238">A321&amp;","</f>
        <v xml:space="preserve">    "resultPage": 57,</v>
      </c>
    </row>
    <row r="322" spans="1:4" x14ac:dyDescent="0.55000000000000004">
      <c r="A322" t="s">
        <v>763</v>
      </c>
      <c r="B322" t="str">
        <f>VLOOKUP(B321,Tabelle3!$A$2:$E$33,3,FALSE)</f>
        <v>Extended Range Blocking</v>
      </c>
      <c r="C322" t="s">
        <v>762</v>
      </c>
      <c r="D322" t="str">
        <f t="shared" ref="D322" si="239">_xlfn.CONCAT(A322:C322)</f>
        <v xml:space="preserve">    "message":  "Extended Range Blocking",</v>
      </c>
    </row>
    <row r="323" spans="1:4" x14ac:dyDescent="0.55000000000000004">
      <c r="A323" t="s">
        <v>764</v>
      </c>
      <c r="B323" t="str">
        <f>VLOOKUP(B321,Tabelle3!$A$2:$E$33,5,FALSE)</f>
        <v>Only Extended Range</v>
      </c>
      <c r="C323" t="s">
        <v>762</v>
      </c>
      <c r="D323" t="str">
        <f t="shared" si="209"/>
        <v xml:space="preserve">    "nextInstruction":  "Only Extended Range",</v>
      </c>
    </row>
    <row r="324" spans="1:4" x14ac:dyDescent="0.55000000000000004">
      <c r="A324" t="s">
        <v>765</v>
      </c>
      <c r="B324" t="str">
        <f>VLOOKUP(B321,Tabelle3!$A$2:$E$33,4,FALSE)</f>
        <v>""</v>
      </c>
      <c r="D324" t="str">
        <f t="shared" ref="D324:D387" si="240">IF(ISNUMBER(B324),(A324&amp;B324),"")</f>
        <v/>
      </c>
    </row>
    <row r="325" spans="1:4" x14ac:dyDescent="0.55000000000000004">
      <c r="A325" t="s">
        <v>6</v>
      </c>
      <c r="D325" t="str">
        <f t="shared" ref="D325:D388" si="241">A325</f>
        <v xml:space="preserve">  },</v>
      </c>
    </row>
    <row r="326" spans="1:4" x14ac:dyDescent="0.55000000000000004">
      <c r="A326" t="s">
        <v>43</v>
      </c>
      <c r="D326" t="str">
        <f t="shared" si="241"/>
        <v xml:space="preserve">  "4-18": {</v>
      </c>
    </row>
    <row r="327" spans="1:4" x14ac:dyDescent="0.55000000000000004">
      <c r="A327" t="s">
        <v>37</v>
      </c>
      <c r="B327">
        <f t="shared" ref="B327" si="242">_xlfn.NUMBERVALUE(RIGHT(A327,2))</f>
        <v>63</v>
      </c>
      <c r="D327" t="str">
        <f t="shared" ref="D327:D390" si="243">A327&amp;","</f>
        <v xml:space="preserve">    "resultPage": 63,</v>
      </c>
    </row>
    <row r="328" spans="1:4" x14ac:dyDescent="0.55000000000000004">
      <c r="A328" t="s">
        <v>763</v>
      </c>
      <c r="B328" t="str">
        <f>VLOOKUP(B327,Tabelle3!$A$2:$E$33,3,FALSE)</f>
        <v>Blocking Low</v>
      </c>
      <c r="C328" t="s">
        <v>762</v>
      </c>
      <c r="D328" t="str">
        <f t="shared" ref="D328" si="244">_xlfn.CONCAT(A328:C328)</f>
        <v xml:space="preserve">    "message":  "Blocking Low",</v>
      </c>
    </row>
    <row r="329" spans="1:4" x14ac:dyDescent="0.55000000000000004">
      <c r="A329" t="s">
        <v>764</v>
      </c>
      <c r="B329" t="str">
        <f>VLOOKUP(B327,Tabelle3!$A$2:$E$33,5,FALSE)</f>
        <v>No Orange</v>
      </c>
      <c r="C329" t="s">
        <v>762</v>
      </c>
      <c r="D329" t="str">
        <f t="shared" si="209"/>
        <v xml:space="preserve">    "nextInstruction":  "No Orange",</v>
      </c>
    </row>
    <row r="330" spans="1:4" x14ac:dyDescent="0.55000000000000004">
      <c r="A330" t="s">
        <v>765</v>
      </c>
      <c r="B330">
        <f>VLOOKUP(B327,Tabelle3!$A$2:$E$33,4,FALSE)</f>
        <v>-4</v>
      </c>
      <c r="D330" t="str">
        <f t="shared" ref="D330:D393" si="245">IF(ISNUMBER(B330),(A330&amp;B330),"")</f>
        <v xml:space="preserve">    "damageModifier": -4</v>
      </c>
    </row>
    <row r="331" spans="1:4" x14ac:dyDescent="0.55000000000000004">
      <c r="A331" t="s">
        <v>6</v>
      </c>
      <c r="D331" t="str">
        <f t="shared" ref="D331:D394" si="246">A331</f>
        <v xml:space="preserve">  },</v>
      </c>
    </row>
    <row r="332" spans="1:4" x14ac:dyDescent="0.55000000000000004">
      <c r="A332" t="s">
        <v>44</v>
      </c>
      <c r="D332" t="str">
        <f t="shared" si="246"/>
        <v xml:space="preserve">  "4-20": {</v>
      </c>
    </row>
    <row r="333" spans="1:4" x14ac:dyDescent="0.55000000000000004">
      <c r="A333" t="s">
        <v>37</v>
      </c>
      <c r="B333">
        <f t="shared" ref="B333" si="247">_xlfn.NUMBERVALUE(RIGHT(A333,2))</f>
        <v>63</v>
      </c>
      <c r="D333" t="str">
        <f t="shared" ref="D333:D396" si="248">A333&amp;","</f>
        <v xml:space="preserve">    "resultPage": 63,</v>
      </c>
    </row>
    <row r="334" spans="1:4" x14ac:dyDescent="0.55000000000000004">
      <c r="A334" t="s">
        <v>763</v>
      </c>
      <c r="B334" t="str">
        <f>VLOOKUP(B333,Tabelle3!$A$2:$E$33,3,FALSE)</f>
        <v>Blocking Low</v>
      </c>
      <c r="C334" t="s">
        <v>762</v>
      </c>
      <c r="D334" t="str">
        <f t="shared" ref="D334" si="249">_xlfn.CONCAT(A334:C334)</f>
        <v xml:space="preserve">    "message":  "Blocking Low",</v>
      </c>
    </row>
    <row r="335" spans="1:4" x14ac:dyDescent="0.55000000000000004">
      <c r="A335" t="s">
        <v>764</v>
      </c>
      <c r="B335" t="str">
        <f>VLOOKUP(B333,Tabelle3!$A$2:$E$33,5,FALSE)</f>
        <v>No Orange</v>
      </c>
      <c r="C335" t="s">
        <v>762</v>
      </c>
      <c r="D335" t="str">
        <f t="shared" si="209"/>
        <v xml:space="preserve">    "nextInstruction":  "No Orange",</v>
      </c>
    </row>
    <row r="336" spans="1:4" x14ac:dyDescent="0.55000000000000004">
      <c r="A336" t="s">
        <v>765</v>
      </c>
      <c r="B336">
        <f>VLOOKUP(B333,Tabelle3!$A$2:$E$33,4,FALSE)</f>
        <v>-4</v>
      </c>
      <c r="D336" t="str">
        <f t="shared" ref="D336:D399" si="250">IF(ISNUMBER(B336),(A336&amp;B336),"")</f>
        <v xml:space="preserve">    "damageModifier": -4</v>
      </c>
    </row>
    <row r="337" spans="1:4" x14ac:dyDescent="0.55000000000000004">
      <c r="A337" t="s">
        <v>6</v>
      </c>
      <c r="D337" t="str">
        <f t="shared" ref="D337:D400" si="251">A337</f>
        <v xml:space="preserve">  },</v>
      </c>
    </row>
    <row r="338" spans="1:4" x14ac:dyDescent="0.55000000000000004">
      <c r="A338" t="s">
        <v>45</v>
      </c>
      <c r="D338" t="str">
        <f t="shared" si="251"/>
        <v xml:space="preserve">  "4-22": {</v>
      </c>
    </row>
    <row r="339" spans="1:4" x14ac:dyDescent="0.55000000000000004">
      <c r="A339" t="s">
        <v>37</v>
      </c>
      <c r="B339">
        <f t="shared" ref="B339" si="252">_xlfn.NUMBERVALUE(RIGHT(A339,2))</f>
        <v>63</v>
      </c>
      <c r="D339" t="str">
        <f t="shared" ref="D339:D402" si="253">A339&amp;","</f>
        <v xml:space="preserve">    "resultPage": 63,</v>
      </c>
    </row>
    <row r="340" spans="1:4" x14ac:dyDescent="0.55000000000000004">
      <c r="A340" t="s">
        <v>763</v>
      </c>
      <c r="B340" t="str">
        <f>VLOOKUP(B339,Tabelle3!$A$2:$E$33,3,FALSE)</f>
        <v>Blocking Low</v>
      </c>
      <c r="C340" t="s">
        <v>762</v>
      </c>
      <c r="D340" t="str">
        <f t="shared" ref="D340" si="254">_xlfn.CONCAT(A340:C340)</f>
        <v xml:space="preserve">    "message":  "Blocking Low",</v>
      </c>
    </row>
    <row r="341" spans="1:4" x14ac:dyDescent="0.55000000000000004">
      <c r="A341" t="s">
        <v>764</v>
      </c>
      <c r="B341" t="str">
        <f>VLOOKUP(B339,Tabelle3!$A$2:$E$33,5,FALSE)</f>
        <v>No Orange</v>
      </c>
      <c r="C341" t="s">
        <v>762</v>
      </c>
      <c r="D341" t="str">
        <f t="shared" si="209"/>
        <v xml:space="preserve">    "nextInstruction":  "No Orange",</v>
      </c>
    </row>
    <row r="342" spans="1:4" x14ac:dyDescent="0.55000000000000004">
      <c r="A342" t="s">
        <v>765</v>
      </c>
      <c r="B342">
        <f>VLOOKUP(B339,Tabelle3!$A$2:$E$33,4,FALSE)</f>
        <v>-4</v>
      </c>
      <c r="D342" t="str">
        <f t="shared" ref="D342:D405" si="255">IF(ISNUMBER(B342),(A342&amp;B342),"")</f>
        <v xml:space="preserve">    "damageModifier": -4</v>
      </c>
    </row>
    <row r="343" spans="1:4" x14ac:dyDescent="0.55000000000000004">
      <c r="A343" t="s">
        <v>6</v>
      </c>
      <c r="D343" t="str">
        <f t="shared" ref="D343:D406" si="256">A343</f>
        <v xml:space="preserve">  },</v>
      </c>
    </row>
    <row r="344" spans="1:4" x14ac:dyDescent="0.55000000000000004">
      <c r="A344" t="s">
        <v>46</v>
      </c>
      <c r="D344" t="str">
        <f t="shared" si="256"/>
        <v xml:space="preserve">  "4-24": {</v>
      </c>
    </row>
    <row r="345" spans="1:4" x14ac:dyDescent="0.55000000000000004">
      <c r="A345" t="s">
        <v>47</v>
      </c>
      <c r="B345">
        <f t="shared" ref="B345" si="257">_xlfn.NUMBERVALUE(RIGHT(A345,2))</f>
        <v>41</v>
      </c>
      <c r="D345" t="str">
        <f t="shared" ref="D345:D408" si="258">A345&amp;","</f>
        <v xml:space="preserve">    "resultPage": 41,</v>
      </c>
    </row>
    <row r="346" spans="1:4" x14ac:dyDescent="0.55000000000000004">
      <c r="A346" t="s">
        <v>763</v>
      </c>
      <c r="B346" t="str">
        <f>VLOOKUP(B345,Tabelle3!$A$2:$E$33,3,FALSE)</f>
        <v>Knocked Down</v>
      </c>
      <c r="C346" t="s">
        <v>762</v>
      </c>
      <c r="D346" t="str">
        <f t="shared" ref="D346" si="259">_xlfn.CONCAT(A346:C346)</f>
        <v xml:space="preserve">    "message":  "Knocked Down",</v>
      </c>
    </row>
    <row r="347" spans="1:4" x14ac:dyDescent="0.55000000000000004">
      <c r="A347" t="s">
        <v>764</v>
      </c>
      <c r="B347" t="str">
        <f>VLOOKUP(B345,Tabelle3!$A$2:$E$33,5,FALSE)</f>
        <v>Only Yellow No Orange</v>
      </c>
      <c r="C347" t="s">
        <v>762</v>
      </c>
      <c r="D347" t="str">
        <f t="shared" si="209"/>
        <v xml:space="preserve">    "nextInstruction":  "Only Yellow No Orange",</v>
      </c>
    </row>
    <row r="348" spans="1:4" x14ac:dyDescent="0.55000000000000004">
      <c r="A348" t="s">
        <v>765</v>
      </c>
      <c r="B348">
        <f>VLOOKUP(B345,Tabelle3!$A$2:$E$33,4,FALSE)</f>
        <v>0</v>
      </c>
      <c r="D348" t="str">
        <f t="shared" ref="D348:D411" si="260">IF(ISNUMBER(B348),(A348&amp;B348),"")</f>
        <v xml:space="preserve">    "damageModifier": 0</v>
      </c>
    </row>
    <row r="349" spans="1:4" x14ac:dyDescent="0.55000000000000004">
      <c r="A349" t="s">
        <v>6</v>
      </c>
      <c r="D349" t="str">
        <f t="shared" ref="D349:D412" si="261">A349</f>
        <v xml:space="preserve">  },</v>
      </c>
    </row>
    <row r="350" spans="1:4" x14ac:dyDescent="0.55000000000000004">
      <c r="A350" t="s">
        <v>48</v>
      </c>
      <c r="D350" t="str">
        <f t="shared" si="261"/>
        <v xml:space="preserve">  "4-26": {</v>
      </c>
    </row>
    <row r="351" spans="1:4" x14ac:dyDescent="0.55000000000000004">
      <c r="A351" t="s">
        <v>37</v>
      </c>
      <c r="B351">
        <f t="shared" ref="B351" si="262">_xlfn.NUMBERVALUE(RIGHT(A351,2))</f>
        <v>63</v>
      </c>
      <c r="D351" t="str">
        <f t="shared" ref="D351:D414" si="263">A351&amp;","</f>
        <v xml:space="preserve">    "resultPage": 63,</v>
      </c>
    </row>
    <row r="352" spans="1:4" x14ac:dyDescent="0.55000000000000004">
      <c r="A352" t="s">
        <v>763</v>
      </c>
      <c r="B352" t="str">
        <f>VLOOKUP(B351,Tabelle3!$A$2:$E$33,3,FALSE)</f>
        <v>Blocking Low</v>
      </c>
      <c r="C352" t="s">
        <v>762</v>
      </c>
      <c r="D352" t="str">
        <f t="shared" ref="D352:D413" si="264">_xlfn.CONCAT(A352:C352)</f>
        <v xml:space="preserve">    "message":  "Blocking Low",</v>
      </c>
    </row>
    <row r="353" spans="1:4" x14ac:dyDescent="0.55000000000000004">
      <c r="A353" t="s">
        <v>764</v>
      </c>
      <c r="B353" t="str">
        <f>VLOOKUP(B351,Tabelle3!$A$2:$E$33,5,FALSE)</f>
        <v>No Orange</v>
      </c>
      <c r="C353" t="s">
        <v>762</v>
      </c>
      <c r="D353" t="str">
        <f t="shared" si="264"/>
        <v xml:space="preserve">    "nextInstruction":  "No Orange",</v>
      </c>
    </row>
    <row r="354" spans="1:4" x14ac:dyDescent="0.55000000000000004">
      <c r="A354" t="s">
        <v>765</v>
      </c>
      <c r="B354">
        <f>VLOOKUP(B351,Tabelle3!$A$2:$E$33,4,FALSE)</f>
        <v>-4</v>
      </c>
      <c r="D354" t="str">
        <f t="shared" ref="D354:D417" si="265">IF(ISNUMBER(B354),(A354&amp;B354),"")</f>
        <v xml:space="preserve">    "damageModifier": -4</v>
      </c>
    </row>
    <row r="355" spans="1:4" x14ac:dyDescent="0.55000000000000004">
      <c r="A355" t="s">
        <v>6</v>
      </c>
      <c r="D355" t="str">
        <f t="shared" ref="D355:D418" si="266">A355</f>
        <v xml:space="preserve">  },</v>
      </c>
    </row>
    <row r="356" spans="1:4" x14ac:dyDescent="0.55000000000000004">
      <c r="A356" t="s">
        <v>49</v>
      </c>
      <c r="D356" t="str">
        <f t="shared" si="266"/>
        <v xml:space="preserve">  "4-28": {</v>
      </c>
    </row>
    <row r="357" spans="1:4" x14ac:dyDescent="0.55000000000000004">
      <c r="A357" t="s">
        <v>10</v>
      </c>
      <c r="B357">
        <f t="shared" ref="B357" si="267">_xlfn.NUMBERVALUE(RIGHT(A357,2))</f>
        <v>31</v>
      </c>
      <c r="D357" t="str">
        <f t="shared" ref="D357:D420" si="268">A357&amp;","</f>
        <v xml:space="preserve">    "resultPage": 31,</v>
      </c>
    </row>
    <row r="358" spans="1:4" x14ac:dyDescent="0.55000000000000004">
      <c r="A358" t="s">
        <v>763</v>
      </c>
      <c r="B358" t="str">
        <f>VLOOKUP(B357,Tabelle3!$A$2:$E$33,3,FALSE)</f>
        <v>Arm Wound</v>
      </c>
      <c r="C358" t="s">
        <v>762</v>
      </c>
      <c r="D358" t="str">
        <f t="shared" ref="D358" si="269">_xlfn.CONCAT(A358:C358)</f>
        <v xml:space="preserve">    "message":  "Arm Wound",</v>
      </c>
    </row>
    <row r="359" spans="1:4" x14ac:dyDescent="0.55000000000000004">
      <c r="A359" t="s">
        <v>764</v>
      </c>
      <c r="B359" t="str">
        <f>VLOOKUP(B357,Tabelle3!$A$2:$E$33,5,FALSE)</f>
        <v>No Orange</v>
      </c>
      <c r="C359" t="s">
        <v>762</v>
      </c>
      <c r="D359" t="str">
        <f t="shared" si="264"/>
        <v xml:space="preserve">    "nextInstruction":  "No Orange",</v>
      </c>
    </row>
    <row r="360" spans="1:4" x14ac:dyDescent="0.55000000000000004">
      <c r="A360" t="s">
        <v>765</v>
      </c>
      <c r="B360">
        <f>VLOOKUP(B357,Tabelle3!$A$2:$E$33,4,FALSE)</f>
        <v>3</v>
      </c>
      <c r="D360" t="str">
        <f t="shared" ref="D360:D423" si="270">IF(ISNUMBER(B360),(A360&amp;B360),"")</f>
        <v xml:space="preserve">    "damageModifier": 3</v>
      </c>
    </row>
    <row r="361" spans="1:4" x14ac:dyDescent="0.55000000000000004">
      <c r="A361" t="s">
        <v>6</v>
      </c>
      <c r="D361" t="str">
        <f t="shared" ref="D361:D424" si="271">A361</f>
        <v xml:space="preserve">  },</v>
      </c>
    </row>
    <row r="362" spans="1:4" x14ac:dyDescent="0.55000000000000004">
      <c r="A362" t="s">
        <v>50</v>
      </c>
      <c r="D362" t="str">
        <f t="shared" si="271"/>
        <v xml:space="preserve">  "4-30": {</v>
      </c>
    </row>
    <row r="363" spans="1:4" x14ac:dyDescent="0.55000000000000004">
      <c r="A363" t="s">
        <v>37</v>
      </c>
      <c r="B363">
        <f t="shared" ref="B363" si="272">_xlfn.NUMBERVALUE(RIGHT(A363,2))</f>
        <v>63</v>
      </c>
      <c r="D363" t="str">
        <f t="shared" ref="D363:D426" si="273">A363&amp;","</f>
        <v xml:space="preserve">    "resultPage": 63,</v>
      </c>
    </row>
    <row r="364" spans="1:4" x14ac:dyDescent="0.55000000000000004">
      <c r="A364" t="s">
        <v>763</v>
      </c>
      <c r="B364" t="str">
        <f>VLOOKUP(B363,Tabelle3!$A$2:$E$33,3,FALSE)</f>
        <v>Blocking Low</v>
      </c>
      <c r="C364" t="s">
        <v>762</v>
      </c>
      <c r="D364" t="str">
        <f t="shared" ref="D364" si="274">_xlfn.CONCAT(A364:C364)</f>
        <v xml:space="preserve">    "message":  "Blocking Low",</v>
      </c>
    </row>
    <row r="365" spans="1:4" x14ac:dyDescent="0.55000000000000004">
      <c r="A365" t="s">
        <v>764</v>
      </c>
      <c r="B365" t="str">
        <f>VLOOKUP(B363,Tabelle3!$A$2:$E$33,5,FALSE)</f>
        <v>No Orange</v>
      </c>
      <c r="C365" t="s">
        <v>762</v>
      </c>
      <c r="D365" t="str">
        <f t="shared" si="264"/>
        <v xml:space="preserve">    "nextInstruction":  "No Orange",</v>
      </c>
    </row>
    <row r="366" spans="1:4" x14ac:dyDescent="0.55000000000000004">
      <c r="A366" t="s">
        <v>765</v>
      </c>
      <c r="B366">
        <f>VLOOKUP(B363,Tabelle3!$A$2:$E$33,4,FALSE)</f>
        <v>-4</v>
      </c>
      <c r="D366" t="str">
        <f t="shared" ref="D366:D429" si="275">IF(ISNUMBER(B366),(A366&amp;B366),"")</f>
        <v xml:space="preserve">    "damageModifier": -4</v>
      </c>
    </row>
    <row r="367" spans="1:4" x14ac:dyDescent="0.55000000000000004">
      <c r="A367" t="s">
        <v>6</v>
      </c>
      <c r="D367" t="str">
        <f t="shared" ref="D367:D430" si="276">A367</f>
        <v xml:space="preserve">  },</v>
      </c>
    </row>
    <row r="368" spans="1:4" x14ac:dyDescent="0.55000000000000004">
      <c r="A368" t="s">
        <v>51</v>
      </c>
      <c r="D368" t="str">
        <f t="shared" si="276"/>
        <v xml:space="preserve">  "4-32": {</v>
      </c>
    </row>
    <row r="369" spans="1:4" x14ac:dyDescent="0.55000000000000004">
      <c r="A369" t="s">
        <v>37</v>
      </c>
      <c r="B369">
        <f t="shared" ref="B369" si="277">_xlfn.NUMBERVALUE(RIGHT(A369,2))</f>
        <v>63</v>
      </c>
      <c r="D369" t="str">
        <f t="shared" ref="D369:D432" si="278">A369&amp;","</f>
        <v xml:space="preserve">    "resultPage": 63,</v>
      </c>
    </row>
    <row r="370" spans="1:4" x14ac:dyDescent="0.55000000000000004">
      <c r="A370" t="s">
        <v>763</v>
      </c>
      <c r="B370" t="str">
        <f>VLOOKUP(B369,Tabelle3!$A$2:$E$33,3,FALSE)</f>
        <v>Blocking Low</v>
      </c>
      <c r="C370" t="s">
        <v>762</v>
      </c>
      <c r="D370" t="str">
        <f t="shared" ref="D370" si="279">_xlfn.CONCAT(A370:C370)</f>
        <v xml:space="preserve">    "message":  "Blocking Low",</v>
      </c>
    </row>
    <row r="371" spans="1:4" x14ac:dyDescent="0.55000000000000004">
      <c r="A371" t="s">
        <v>764</v>
      </c>
      <c r="B371" t="str">
        <f>VLOOKUP(B369,Tabelle3!$A$2:$E$33,5,FALSE)</f>
        <v>No Orange</v>
      </c>
      <c r="C371" t="s">
        <v>762</v>
      </c>
      <c r="D371" t="str">
        <f t="shared" si="264"/>
        <v xml:space="preserve">    "nextInstruction":  "No Orange",</v>
      </c>
    </row>
    <row r="372" spans="1:4" x14ac:dyDescent="0.55000000000000004">
      <c r="A372" t="s">
        <v>765</v>
      </c>
      <c r="B372">
        <f>VLOOKUP(B369,Tabelle3!$A$2:$E$33,4,FALSE)</f>
        <v>-4</v>
      </c>
      <c r="D372" t="str">
        <f t="shared" ref="D372:D435" si="280">IF(ISNUMBER(B372),(A372&amp;B372),"")</f>
        <v xml:space="preserve">    "damageModifier": -4</v>
      </c>
    </row>
    <row r="373" spans="1:4" x14ac:dyDescent="0.55000000000000004">
      <c r="A373" t="s">
        <v>6</v>
      </c>
      <c r="D373" t="str">
        <f t="shared" ref="D373:D436" si="281">A373</f>
        <v xml:space="preserve">  },</v>
      </c>
    </row>
    <row r="374" spans="1:4" x14ac:dyDescent="0.55000000000000004">
      <c r="A374" t="s">
        <v>52</v>
      </c>
      <c r="D374" t="str">
        <f t="shared" si="281"/>
        <v xml:space="preserve">  "4-34": {</v>
      </c>
    </row>
    <row r="375" spans="1:4" x14ac:dyDescent="0.55000000000000004">
      <c r="A375" t="s">
        <v>37</v>
      </c>
      <c r="B375">
        <f t="shared" ref="B375" si="282">_xlfn.NUMBERVALUE(RIGHT(A375,2))</f>
        <v>63</v>
      </c>
      <c r="D375" t="str">
        <f t="shared" ref="D375:D438" si="283">A375&amp;","</f>
        <v xml:space="preserve">    "resultPage": 63,</v>
      </c>
    </row>
    <row r="376" spans="1:4" x14ac:dyDescent="0.55000000000000004">
      <c r="A376" t="s">
        <v>763</v>
      </c>
      <c r="B376" t="str">
        <f>VLOOKUP(B375,Tabelle3!$A$2:$E$33,3,FALSE)</f>
        <v>Blocking Low</v>
      </c>
      <c r="C376" t="s">
        <v>762</v>
      </c>
      <c r="D376" t="str">
        <f t="shared" ref="D376" si="284">_xlfn.CONCAT(A376:C376)</f>
        <v xml:space="preserve">    "message":  "Blocking Low",</v>
      </c>
    </row>
    <row r="377" spans="1:4" x14ac:dyDescent="0.55000000000000004">
      <c r="A377" t="s">
        <v>764</v>
      </c>
      <c r="B377" t="str">
        <f>VLOOKUP(B375,Tabelle3!$A$2:$E$33,5,FALSE)</f>
        <v>No Orange</v>
      </c>
      <c r="C377" t="s">
        <v>762</v>
      </c>
      <c r="D377" t="str">
        <f t="shared" si="264"/>
        <v xml:space="preserve">    "nextInstruction":  "No Orange",</v>
      </c>
    </row>
    <row r="378" spans="1:4" x14ac:dyDescent="0.55000000000000004">
      <c r="A378" t="s">
        <v>765</v>
      </c>
      <c r="B378">
        <f>VLOOKUP(B375,Tabelle3!$A$2:$E$33,4,FALSE)</f>
        <v>-4</v>
      </c>
      <c r="D378" t="str">
        <f t="shared" ref="D378:D441" si="285">IF(ISNUMBER(B378),(A378&amp;B378),"")</f>
        <v xml:space="preserve">    "damageModifier": -4</v>
      </c>
    </row>
    <row r="379" spans="1:4" x14ac:dyDescent="0.55000000000000004">
      <c r="A379" t="s">
        <v>6</v>
      </c>
      <c r="D379" t="str">
        <f t="shared" ref="D379:D442" si="286">A379</f>
        <v xml:space="preserve">  },</v>
      </c>
    </row>
    <row r="380" spans="1:4" x14ac:dyDescent="0.55000000000000004">
      <c r="A380" t="s">
        <v>53</v>
      </c>
      <c r="D380" t="str">
        <f t="shared" si="286"/>
        <v xml:space="preserve">  "4-36": {</v>
      </c>
    </row>
    <row r="381" spans="1:4" x14ac:dyDescent="0.55000000000000004">
      <c r="A381" t="s">
        <v>23</v>
      </c>
      <c r="B381">
        <f t="shared" ref="B381" si="287">_xlfn.NUMBERVALUE(RIGHT(A381,2))</f>
        <v>7</v>
      </c>
      <c r="D381" t="str">
        <f t="shared" ref="D381:D444" si="288">A381&amp;","</f>
        <v xml:space="preserve">    "resultPage": 7,</v>
      </c>
    </row>
    <row r="382" spans="1:4" x14ac:dyDescent="0.55000000000000004">
      <c r="A382" t="s">
        <v>763</v>
      </c>
      <c r="B382" t="str">
        <f>VLOOKUP(B381,Tabelle3!$A$2:$E$33,3,FALSE)</f>
        <v>Dazed</v>
      </c>
      <c r="C382" t="s">
        <v>762</v>
      </c>
      <c r="D382" t="str">
        <f t="shared" ref="D382" si="289">_xlfn.CONCAT(A382:C382)</f>
        <v xml:space="preserve">    "message":  "Dazed",</v>
      </c>
    </row>
    <row r="383" spans="1:4" x14ac:dyDescent="0.55000000000000004">
      <c r="A383" t="s">
        <v>764</v>
      </c>
      <c r="B383" t="str">
        <f>VLOOKUP(B381,Tabelle3!$A$2:$E$33,5,FALSE)</f>
        <v>Only Green Only Yellow</v>
      </c>
      <c r="C383" t="s">
        <v>762</v>
      </c>
      <c r="D383" t="str">
        <f t="shared" si="264"/>
        <v xml:space="preserve">    "nextInstruction":  "Only Green Only Yellow",</v>
      </c>
    </row>
    <row r="384" spans="1:4" x14ac:dyDescent="0.55000000000000004">
      <c r="A384" t="s">
        <v>765</v>
      </c>
      <c r="B384">
        <f>VLOOKUP(B381,Tabelle3!$A$2:$E$33,4,FALSE)</f>
        <v>7</v>
      </c>
      <c r="D384" t="str">
        <f t="shared" ref="D384:D447" si="290">IF(ISNUMBER(B384),(A384&amp;B384),"")</f>
        <v xml:space="preserve">    "damageModifier": 7</v>
      </c>
    </row>
    <row r="385" spans="1:4" x14ac:dyDescent="0.55000000000000004">
      <c r="A385" t="s">
        <v>6</v>
      </c>
      <c r="D385" t="str">
        <f t="shared" ref="D385:D448" si="291">A385</f>
        <v xml:space="preserve">  },</v>
      </c>
    </row>
    <row r="386" spans="1:4" x14ac:dyDescent="0.55000000000000004">
      <c r="A386" t="s">
        <v>54</v>
      </c>
      <c r="D386" t="str">
        <f t="shared" si="291"/>
        <v xml:space="preserve">  "4-38": {</v>
      </c>
    </row>
    <row r="387" spans="1:4" x14ac:dyDescent="0.55000000000000004">
      <c r="A387" t="s">
        <v>20</v>
      </c>
      <c r="B387">
        <f t="shared" ref="B387" si="292">_xlfn.NUMBERVALUE(RIGHT(A387,2))</f>
        <v>53</v>
      </c>
      <c r="D387" t="str">
        <f t="shared" ref="D387:D450" si="293">A387&amp;","</f>
        <v xml:space="preserve">    "resultPage": 53,</v>
      </c>
    </row>
    <row r="388" spans="1:4" x14ac:dyDescent="0.55000000000000004">
      <c r="A388" t="s">
        <v>763</v>
      </c>
      <c r="B388" t="str">
        <f>VLOOKUP(B387,Tabelle3!$A$2:$E$33,3,FALSE)</f>
        <v>Body Wound</v>
      </c>
      <c r="C388" t="s">
        <v>762</v>
      </c>
      <c r="D388" t="str">
        <f t="shared" ref="D388" si="294">_xlfn.CONCAT(A388:C388)</f>
        <v xml:space="preserve">    "message":  "Body Wound",</v>
      </c>
    </row>
    <row r="389" spans="1:4" x14ac:dyDescent="0.55000000000000004">
      <c r="A389" t="s">
        <v>764</v>
      </c>
      <c r="B389" t="str">
        <f>VLOOKUP(B387,Tabelle3!$A$2:$E$33,5,FALSE)</f>
        <v>No Red No Orange</v>
      </c>
      <c r="C389" t="s">
        <v>762</v>
      </c>
      <c r="D389" t="str">
        <f t="shared" si="264"/>
        <v xml:space="preserve">    "nextInstruction":  "No Red No Orange",</v>
      </c>
    </row>
    <row r="390" spans="1:4" x14ac:dyDescent="0.55000000000000004">
      <c r="A390" t="s">
        <v>765</v>
      </c>
      <c r="B390">
        <f>VLOOKUP(B387,Tabelle3!$A$2:$E$33,4,FALSE)</f>
        <v>5</v>
      </c>
      <c r="D390" t="str">
        <f t="shared" ref="D390:D453" si="295">IF(ISNUMBER(B390),(A390&amp;B390),"")</f>
        <v xml:space="preserve">    "damageModifier": 5</v>
      </c>
    </row>
    <row r="391" spans="1:4" x14ac:dyDescent="0.55000000000000004">
      <c r="A391" t="s">
        <v>6</v>
      </c>
      <c r="D391" t="str">
        <f t="shared" ref="D391:D454" si="296">A391</f>
        <v xml:space="preserve">  },</v>
      </c>
    </row>
    <row r="392" spans="1:4" x14ac:dyDescent="0.55000000000000004">
      <c r="A392" t="s">
        <v>55</v>
      </c>
      <c r="D392" t="str">
        <f t="shared" si="296"/>
        <v xml:space="preserve">  "4-40": {</v>
      </c>
    </row>
    <row r="393" spans="1:4" x14ac:dyDescent="0.55000000000000004">
      <c r="A393" t="s">
        <v>37</v>
      </c>
      <c r="B393">
        <f t="shared" ref="B393" si="297">_xlfn.NUMBERVALUE(RIGHT(A393,2))</f>
        <v>63</v>
      </c>
      <c r="D393" t="str">
        <f t="shared" ref="D393:D456" si="298">A393&amp;","</f>
        <v xml:space="preserve">    "resultPage": 63,</v>
      </c>
    </row>
    <row r="394" spans="1:4" x14ac:dyDescent="0.55000000000000004">
      <c r="A394" t="s">
        <v>763</v>
      </c>
      <c r="B394" t="str">
        <f>VLOOKUP(B393,Tabelle3!$A$2:$E$33,3,FALSE)</f>
        <v>Blocking Low</v>
      </c>
      <c r="C394" t="s">
        <v>762</v>
      </c>
      <c r="D394" t="str">
        <f t="shared" ref="D394" si="299">_xlfn.CONCAT(A394:C394)</f>
        <v xml:space="preserve">    "message":  "Blocking Low",</v>
      </c>
    </row>
    <row r="395" spans="1:4" x14ac:dyDescent="0.55000000000000004">
      <c r="A395" t="s">
        <v>764</v>
      </c>
      <c r="B395" t="str">
        <f>VLOOKUP(B393,Tabelle3!$A$2:$E$33,5,FALSE)</f>
        <v>No Orange</v>
      </c>
      <c r="C395" t="s">
        <v>762</v>
      </c>
      <c r="D395" t="str">
        <f t="shared" si="264"/>
        <v xml:space="preserve">    "nextInstruction":  "No Orange",</v>
      </c>
    </row>
    <row r="396" spans="1:4" x14ac:dyDescent="0.55000000000000004">
      <c r="A396" t="s">
        <v>765</v>
      </c>
      <c r="B396">
        <f>VLOOKUP(B393,Tabelle3!$A$2:$E$33,4,FALSE)</f>
        <v>-4</v>
      </c>
      <c r="D396" t="str">
        <f t="shared" ref="D396:D459" si="300">IF(ISNUMBER(B396),(A396&amp;B396),"")</f>
        <v xml:space="preserve">    "damageModifier": -4</v>
      </c>
    </row>
    <row r="397" spans="1:4" x14ac:dyDescent="0.55000000000000004">
      <c r="A397" t="s">
        <v>6</v>
      </c>
      <c r="D397" t="str">
        <f t="shared" ref="D397:D460" si="301">A397</f>
        <v xml:space="preserve">  },</v>
      </c>
    </row>
    <row r="398" spans="1:4" x14ac:dyDescent="0.55000000000000004">
      <c r="A398" t="s">
        <v>56</v>
      </c>
      <c r="D398" t="str">
        <f t="shared" si="301"/>
        <v xml:space="preserve">  "4-42": {</v>
      </c>
    </row>
    <row r="399" spans="1:4" x14ac:dyDescent="0.55000000000000004">
      <c r="A399" t="s">
        <v>37</v>
      </c>
      <c r="B399">
        <f t="shared" ref="B399" si="302">_xlfn.NUMBERVALUE(RIGHT(A399,2))</f>
        <v>63</v>
      </c>
      <c r="D399" t="str">
        <f t="shared" ref="D399:D462" si="303">A399&amp;","</f>
        <v xml:space="preserve">    "resultPage": 63,</v>
      </c>
    </row>
    <row r="400" spans="1:4" x14ac:dyDescent="0.55000000000000004">
      <c r="A400" t="s">
        <v>763</v>
      </c>
      <c r="B400" t="str">
        <f>VLOOKUP(B399,Tabelle3!$A$2:$E$33,3,FALSE)</f>
        <v>Blocking Low</v>
      </c>
      <c r="C400" t="s">
        <v>762</v>
      </c>
      <c r="D400" t="str">
        <f t="shared" ref="D400" si="304">_xlfn.CONCAT(A400:C400)</f>
        <v xml:space="preserve">    "message":  "Blocking Low",</v>
      </c>
    </row>
    <row r="401" spans="1:4" x14ac:dyDescent="0.55000000000000004">
      <c r="A401" t="s">
        <v>764</v>
      </c>
      <c r="B401" t="str">
        <f>VLOOKUP(B399,Tabelle3!$A$2:$E$33,5,FALSE)</f>
        <v>No Orange</v>
      </c>
      <c r="C401" t="s">
        <v>762</v>
      </c>
      <c r="D401" t="str">
        <f t="shared" si="264"/>
        <v xml:space="preserve">    "nextInstruction":  "No Orange",</v>
      </c>
    </row>
    <row r="402" spans="1:4" x14ac:dyDescent="0.55000000000000004">
      <c r="A402" t="s">
        <v>765</v>
      </c>
      <c r="B402">
        <f>VLOOKUP(B399,Tabelle3!$A$2:$E$33,4,FALSE)</f>
        <v>-4</v>
      </c>
      <c r="D402" t="str">
        <f t="shared" ref="D402:D465" si="305">IF(ISNUMBER(B402),(A402&amp;B402),"")</f>
        <v xml:space="preserve">    "damageModifier": -4</v>
      </c>
    </row>
    <row r="403" spans="1:4" x14ac:dyDescent="0.55000000000000004">
      <c r="A403" t="s">
        <v>6</v>
      </c>
      <c r="D403" t="str">
        <f t="shared" ref="D403:D466" si="306">A403</f>
        <v xml:space="preserve">  },</v>
      </c>
    </row>
    <row r="404" spans="1:4" x14ac:dyDescent="0.55000000000000004">
      <c r="A404" t="s">
        <v>57</v>
      </c>
      <c r="D404" t="str">
        <f t="shared" si="306"/>
        <v xml:space="preserve">  "4-44": {</v>
      </c>
    </row>
    <row r="405" spans="1:4" x14ac:dyDescent="0.55000000000000004">
      <c r="A405" t="s">
        <v>58</v>
      </c>
      <c r="B405">
        <f t="shared" ref="B405" si="307">_xlfn.NUMBERVALUE(RIGHT(A405,2))</f>
        <v>19</v>
      </c>
      <c r="D405" t="str">
        <f t="shared" ref="D405:D468" si="308">A405&amp;","</f>
        <v xml:space="preserve">    "resultPage": 19,</v>
      </c>
    </row>
    <row r="406" spans="1:4" x14ac:dyDescent="0.55000000000000004">
      <c r="A406" t="s">
        <v>763</v>
      </c>
      <c r="B406" t="str">
        <f>VLOOKUP(B405,Tabelle3!$A$2:$E$33,3,FALSE)</f>
        <v>Struck off Balance</v>
      </c>
      <c r="C406" t="s">
        <v>762</v>
      </c>
      <c r="D406" t="str">
        <f t="shared" ref="D406" si="309">_xlfn.CONCAT(A406:C406)</f>
        <v xml:space="preserve">    "message":  "Struck off Balance",</v>
      </c>
    </row>
    <row r="407" spans="1:4" x14ac:dyDescent="0.55000000000000004">
      <c r="A407" t="s">
        <v>764</v>
      </c>
      <c r="B407" t="str">
        <f>VLOOKUP(B405,Tabelle3!$A$2:$E$33,5,FALSE)</f>
        <v>Only Green Only Yellow</v>
      </c>
      <c r="C407" t="s">
        <v>762</v>
      </c>
      <c r="D407" t="str">
        <f t="shared" si="264"/>
        <v xml:space="preserve">    "nextInstruction":  "Only Green Only Yellow",</v>
      </c>
    </row>
    <row r="408" spans="1:4" x14ac:dyDescent="0.55000000000000004">
      <c r="A408" t="s">
        <v>765</v>
      </c>
      <c r="B408">
        <f>VLOOKUP(B405,Tabelle3!$A$2:$E$33,4,FALSE)</f>
        <v>0</v>
      </c>
      <c r="D408" t="str">
        <f t="shared" ref="D408:D471" si="310">IF(ISNUMBER(B408),(A408&amp;B408),"")</f>
        <v xml:space="preserve">    "damageModifier": 0</v>
      </c>
    </row>
    <row r="409" spans="1:4" x14ac:dyDescent="0.55000000000000004">
      <c r="A409" t="s">
        <v>6</v>
      </c>
      <c r="D409" t="str">
        <f t="shared" ref="D409:D472" si="311">A409</f>
        <v xml:space="preserve">  },</v>
      </c>
    </row>
    <row r="410" spans="1:4" x14ac:dyDescent="0.55000000000000004">
      <c r="A410" t="s">
        <v>59</v>
      </c>
      <c r="D410" t="str">
        <f t="shared" si="311"/>
        <v xml:space="preserve">  "4-46": {</v>
      </c>
    </row>
    <row r="411" spans="1:4" x14ac:dyDescent="0.55000000000000004">
      <c r="A411" t="s">
        <v>37</v>
      </c>
      <c r="B411">
        <f t="shared" ref="B411" si="312">_xlfn.NUMBERVALUE(RIGHT(A411,2))</f>
        <v>63</v>
      </c>
      <c r="D411" t="str">
        <f t="shared" ref="D411:D474" si="313">A411&amp;","</f>
        <v xml:space="preserve">    "resultPage": 63,</v>
      </c>
    </row>
    <row r="412" spans="1:4" x14ac:dyDescent="0.55000000000000004">
      <c r="A412" t="s">
        <v>763</v>
      </c>
      <c r="B412" t="str">
        <f>VLOOKUP(B411,Tabelle3!$A$2:$E$33,3,FALSE)</f>
        <v>Blocking Low</v>
      </c>
      <c r="C412" t="s">
        <v>762</v>
      </c>
      <c r="D412" t="str">
        <f t="shared" ref="D412" si="314">_xlfn.CONCAT(A412:C412)</f>
        <v xml:space="preserve">    "message":  "Blocking Low",</v>
      </c>
    </row>
    <row r="413" spans="1:4" x14ac:dyDescent="0.55000000000000004">
      <c r="A413" t="s">
        <v>764</v>
      </c>
      <c r="B413" t="str">
        <f>VLOOKUP(B411,Tabelle3!$A$2:$E$33,5,FALSE)</f>
        <v>No Orange</v>
      </c>
      <c r="C413" t="s">
        <v>762</v>
      </c>
      <c r="D413" t="str">
        <f t="shared" si="264"/>
        <v xml:space="preserve">    "nextInstruction":  "No Orange",</v>
      </c>
    </row>
    <row r="414" spans="1:4" x14ac:dyDescent="0.55000000000000004">
      <c r="A414" t="s">
        <v>765</v>
      </c>
      <c r="B414">
        <f>VLOOKUP(B411,Tabelle3!$A$2:$E$33,4,FALSE)</f>
        <v>-4</v>
      </c>
      <c r="D414" t="str">
        <f t="shared" ref="D414:D477" si="315">IF(ISNUMBER(B414),(A414&amp;B414),"")</f>
        <v xml:space="preserve">    "damageModifier": -4</v>
      </c>
    </row>
    <row r="415" spans="1:4" x14ac:dyDescent="0.55000000000000004">
      <c r="A415" t="s">
        <v>6</v>
      </c>
      <c r="D415" t="str">
        <f t="shared" ref="D415:D478" si="316">A415</f>
        <v xml:space="preserve">  },</v>
      </c>
    </row>
    <row r="416" spans="1:4" x14ac:dyDescent="0.55000000000000004">
      <c r="A416" t="s">
        <v>60</v>
      </c>
      <c r="D416" t="str">
        <f t="shared" si="316"/>
        <v xml:space="preserve">  "4-48": {</v>
      </c>
    </row>
    <row r="417" spans="1:4" x14ac:dyDescent="0.55000000000000004">
      <c r="A417" t="s">
        <v>58</v>
      </c>
      <c r="B417">
        <f t="shared" ref="B417" si="317">_xlfn.NUMBERVALUE(RIGHT(A417,2))</f>
        <v>19</v>
      </c>
      <c r="D417" t="str">
        <f t="shared" ref="D417:D480" si="318">A417&amp;","</f>
        <v xml:space="preserve">    "resultPage": 19,</v>
      </c>
    </row>
    <row r="418" spans="1:4" x14ac:dyDescent="0.55000000000000004">
      <c r="A418" t="s">
        <v>763</v>
      </c>
      <c r="B418" t="str">
        <f>VLOOKUP(B417,Tabelle3!$A$2:$E$33,3,FALSE)</f>
        <v>Struck off Balance</v>
      </c>
      <c r="C418" t="s">
        <v>762</v>
      </c>
      <c r="D418" t="str">
        <f t="shared" ref="D418:D479" si="319">_xlfn.CONCAT(A418:C418)</f>
        <v xml:space="preserve">    "message":  "Struck off Balance",</v>
      </c>
    </row>
    <row r="419" spans="1:4" x14ac:dyDescent="0.55000000000000004">
      <c r="A419" t="s">
        <v>764</v>
      </c>
      <c r="B419" t="str">
        <f>VLOOKUP(B417,Tabelle3!$A$2:$E$33,5,FALSE)</f>
        <v>Only Green Only Yellow</v>
      </c>
      <c r="C419" t="s">
        <v>762</v>
      </c>
      <c r="D419" t="str">
        <f t="shared" si="319"/>
        <v xml:space="preserve">    "nextInstruction":  "Only Green Only Yellow",</v>
      </c>
    </row>
    <row r="420" spans="1:4" x14ac:dyDescent="0.55000000000000004">
      <c r="A420" t="s">
        <v>765</v>
      </c>
      <c r="B420">
        <f>VLOOKUP(B417,Tabelle3!$A$2:$E$33,4,FALSE)</f>
        <v>0</v>
      </c>
      <c r="D420" t="str">
        <f t="shared" ref="D420:D483" si="320">IF(ISNUMBER(B420),(A420&amp;B420),"")</f>
        <v xml:space="preserve">    "damageModifier": 0</v>
      </c>
    </row>
    <row r="421" spans="1:4" x14ac:dyDescent="0.55000000000000004">
      <c r="A421" t="s">
        <v>6</v>
      </c>
      <c r="D421" t="str">
        <f t="shared" ref="D421:D484" si="321">A421</f>
        <v xml:space="preserve">  },</v>
      </c>
    </row>
    <row r="422" spans="1:4" x14ac:dyDescent="0.55000000000000004">
      <c r="A422" t="s">
        <v>61</v>
      </c>
      <c r="D422" t="str">
        <f t="shared" si="321"/>
        <v xml:space="preserve">  "6-4": {</v>
      </c>
    </row>
    <row r="423" spans="1:4" x14ac:dyDescent="0.55000000000000004">
      <c r="A423" t="s">
        <v>35</v>
      </c>
      <c r="B423">
        <f t="shared" ref="B423" si="322">_xlfn.NUMBERVALUE(RIGHT(A423,2))</f>
        <v>59</v>
      </c>
      <c r="D423" t="str">
        <f t="shared" ref="D423:D486" si="323">A423&amp;","</f>
        <v xml:space="preserve">    "resultPage": 59,</v>
      </c>
    </row>
    <row r="424" spans="1:4" x14ac:dyDescent="0.55000000000000004">
      <c r="A424" t="s">
        <v>763</v>
      </c>
      <c r="B424" t="str">
        <f>VLOOKUP(B423,Tabelle3!$A$2:$E$33,3,FALSE)</f>
        <v>Pushed off Balance</v>
      </c>
      <c r="C424" t="s">
        <v>762</v>
      </c>
      <c r="D424" t="str">
        <f t="shared" ref="D424" si="324">_xlfn.CONCAT(A424:C424)</f>
        <v xml:space="preserve">    "message":  "Pushed off Balance",</v>
      </c>
    </row>
    <row r="425" spans="1:4" x14ac:dyDescent="0.55000000000000004">
      <c r="A425" t="s">
        <v>764</v>
      </c>
      <c r="B425" t="str">
        <f>VLOOKUP(B423,Tabelle3!$A$2:$E$33,5,FALSE)</f>
        <v>Only Green Only Yellow</v>
      </c>
      <c r="C425" t="s">
        <v>762</v>
      </c>
      <c r="D425" t="str">
        <f t="shared" si="319"/>
        <v xml:space="preserve">    "nextInstruction":  "Only Green Only Yellow",</v>
      </c>
    </row>
    <row r="426" spans="1:4" x14ac:dyDescent="0.55000000000000004">
      <c r="A426" t="s">
        <v>765</v>
      </c>
      <c r="B426">
        <f>VLOOKUP(B423,Tabelle3!$A$2:$E$33,4,FALSE)</f>
        <v>0</v>
      </c>
      <c r="D426" t="str">
        <f t="shared" ref="D426:D489" si="325">IF(ISNUMBER(B426),(A426&amp;B426),"")</f>
        <v xml:space="preserve">    "damageModifier": 0</v>
      </c>
    </row>
    <row r="427" spans="1:4" x14ac:dyDescent="0.55000000000000004">
      <c r="A427" t="s">
        <v>6</v>
      </c>
      <c r="D427" t="str">
        <f t="shared" ref="D427:D490" si="326">A427</f>
        <v xml:space="preserve">  },</v>
      </c>
    </row>
    <row r="428" spans="1:4" x14ac:dyDescent="0.55000000000000004">
      <c r="A428" t="s">
        <v>62</v>
      </c>
      <c r="D428" t="str">
        <f t="shared" si="326"/>
        <v xml:space="preserve">  "6-6": {</v>
      </c>
    </row>
    <row r="429" spans="1:4" x14ac:dyDescent="0.55000000000000004">
      <c r="A429" t="s">
        <v>63</v>
      </c>
      <c r="B429">
        <f t="shared" ref="B429" si="327">_xlfn.NUMBERVALUE(RIGHT(A429,2))</f>
        <v>17</v>
      </c>
      <c r="D429" t="str">
        <f t="shared" ref="D429:D492" si="328">A429&amp;","</f>
        <v xml:space="preserve">    "resultPage": 17,</v>
      </c>
    </row>
    <row r="430" spans="1:4" x14ac:dyDescent="0.55000000000000004">
      <c r="A430" t="s">
        <v>763</v>
      </c>
      <c r="B430" t="str">
        <f>VLOOKUP(B429,Tabelle3!$A$2:$E$33,3,FALSE)</f>
        <v>Blocking High</v>
      </c>
      <c r="C430" t="s">
        <v>762</v>
      </c>
      <c r="D430" t="str">
        <f t="shared" ref="D430" si="329">_xlfn.CONCAT(A430:C430)</f>
        <v xml:space="preserve">    "message":  "Blocking High",</v>
      </c>
    </row>
    <row r="431" spans="1:4" x14ac:dyDescent="0.55000000000000004">
      <c r="A431" t="s">
        <v>764</v>
      </c>
      <c r="B431" t="str">
        <f>VLOOKUP(B429,Tabelle3!$A$2:$E$33,5,FALSE)</f>
        <v>No Blue</v>
      </c>
      <c r="C431" t="s">
        <v>762</v>
      </c>
      <c r="D431" t="str">
        <f t="shared" si="319"/>
        <v xml:space="preserve">    "nextInstruction":  "No Blue",</v>
      </c>
    </row>
    <row r="432" spans="1:4" x14ac:dyDescent="0.55000000000000004">
      <c r="A432" t="s">
        <v>765</v>
      </c>
      <c r="B432">
        <f>VLOOKUP(B429,Tabelle3!$A$2:$E$33,4,FALSE)</f>
        <v>-4</v>
      </c>
      <c r="D432" t="str">
        <f t="shared" ref="D432:D495" si="330">IF(ISNUMBER(B432),(A432&amp;B432),"")</f>
        <v xml:space="preserve">    "damageModifier": -4</v>
      </c>
    </row>
    <row r="433" spans="1:4" x14ac:dyDescent="0.55000000000000004">
      <c r="A433" t="s">
        <v>6</v>
      </c>
      <c r="D433" t="str">
        <f t="shared" ref="D433:D496" si="331">A433</f>
        <v xml:space="preserve">  },</v>
      </c>
    </row>
    <row r="434" spans="1:4" x14ac:dyDescent="0.55000000000000004">
      <c r="A434" t="s">
        <v>64</v>
      </c>
      <c r="D434" t="str">
        <f t="shared" si="331"/>
        <v xml:space="preserve">  "6-8": {</v>
      </c>
    </row>
    <row r="435" spans="1:4" x14ac:dyDescent="0.55000000000000004">
      <c r="A435" t="s">
        <v>65</v>
      </c>
      <c r="B435">
        <f t="shared" ref="B435" si="332">_xlfn.NUMBERVALUE(RIGHT(A435,2))</f>
        <v>9</v>
      </c>
      <c r="D435" t="str">
        <f t="shared" ref="D435:D498" si="333">A435&amp;","</f>
        <v xml:space="preserve">    "resultPage": 9,</v>
      </c>
    </row>
    <row r="436" spans="1:4" x14ac:dyDescent="0.55000000000000004">
      <c r="A436" t="s">
        <v>763</v>
      </c>
      <c r="B436" t="str">
        <f>VLOOKUP(B435,Tabelle3!$A$2:$E$33,3,FALSE)</f>
        <v>Thrusting High</v>
      </c>
      <c r="C436" t="s">
        <v>762</v>
      </c>
      <c r="D436" t="str">
        <f t="shared" ref="D436" si="334">_xlfn.CONCAT(A436:C436)</f>
        <v xml:space="preserve">    "message":  "Thrusting High",</v>
      </c>
    </row>
    <row r="437" spans="1:4" x14ac:dyDescent="0.55000000000000004">
      <c r="A437" t="s">
        <v>764</v>
      </c>
      <c r="B437" t="str">
        <f>VLOOKUP(B435,Tabelle3!$A$2:$E$33,5,FALSE)</f>
        <v/>
      </c>
      <c r="C437" t="s">
        <v>762</v>
      </c>
      <c r="D437" t="str">
        <f t="shared" si="319"/>
        <v xml:space="preserve">    "nextInstruction":  "",</v>
      </c>
    </row>
    <row r="438" spans="1:4" x14ac:dyDescent="0.55000000000000004">
      <c r="A438" t="s">
        <v>765</v>
      </c>
      <c r="B438" t="str">
        <f>VLOOKUP(B435,Tabelle3!$A$2:$E$33,4,FALSE)</f>
        <v>""</v>
      </c>
      <c r="D438" t="str">
        <f t="shared" ref="D438:D501" si="335">IF(ISNUMBER(B438),(A438&amp;B438),"")</f>
        <v/>
      </c>
    </row>
    <row r="439" spans="1:4" x14ac:dyDescent="0.55000000000000004">
      <c r="A439" t="s">
        <v>6</v>
      </c>
      <c r="D439" t="str">
        <f t="shared" ref="D439:D502" si="336">A439</f>
        <v xml:space="preserve">  },</v>
      </c>
    </row>
    <row r="440" spans="1:4" x14ac:dyDescent="0.55000000000000004">
      <c r="A440" t="s">
        <v>66</v>
      </c>
      <c r="D440" t="str">
        <f t="shared" si="336"/>
        <v xml:space="preserve">  "6-10": {</v>
      </c>
    </row>
    <row r="441" spans="1:4" x14ac:dyDescent="0.55000000000000004">
      <c r="A441" t="s">
        <v>65</v>
      </c>
      <c r="B441">
        <f t="shared" ref="B441" si="337">_xlfn.NUMBERVALUE(RIGHT(A441,2))</f>
        <v>9</v>
      </c>
      <c r="D441" t="str">
        <f t="shared" ref="D441:D504" si="338">A441&amp;","</f>
        <v xml:space="preserve">    "resultPage": 9,</v>
      </c>
    </row>
    <row r="442" spans="1:4" x14ac:dyDescent="0.55000000000000004">
      <c r="A442" t="s">
        <v>763</v>
      </c>
      <c r="B442" t="str">
        <f>VLOOKUP(B441,Tabelle3!$A$2:$E$33,3,FALSE)</f>
        <v>Thrusting High</v>
      </c>
      <c r="C442" t="s">
        <v>762</v>
      </c>
      <c r="D442" t="str">
        <f t="shared" ref="D442" si="339">_xlfn.CONCAT(A442:C442)</f>
        <v xml:space="preserve">    "message":  "Thrusting High",</v>
      </c>
    </row>
    <row r="443" spans="1:4" x14ac:dyDescent="0.55000000000000004">
      <c r="A443" t="s">
        <v>764</v>
      </c>
      <c r="B443" t="str">
        <f>VLOOKUP(B441,Tabelle3!$A$2:$E$33,5,FALSE)</f>
        <v/>
      </c>
      <c r="C443" t="s">
        <v>762</v>
      </c>
      <c r="D443" t="str">
        <f t="shared" si="319"/>
        <v xml:space="preserve">    "nextInstruction":  "",</v>
      </c>
    </row>
    <row r="444" spans="1:4" x14ac:dyDescent="0.55000000000000004">
      <c r="A444" t="s">
        <v>765</v>
      </c>
      <c r="B444" t="str">
        <f>VLOOKUP(B441,Tabelle3!$A$2:$E$33,4,FALSE)</f>
        <v>""</v>
      </c>
      <c r="D444" t="str">
        <f t="shared" ref="D444:D507" si="340">IF(ISNUMBER(B444),(A444&amp;B444),"")</f>
        <v/>
      </c>
    </row>
    <row r="445" spans="1:4" x14ac:dyDescent="0.55000000000000004">
      <c r="A445" t="s">
        <v>6</v>
      </c>
      <c r="D445" t="str">
        <f t="shared" ref="D445:D508" si="341">A445</f>
        <v xml:space="preserve">  },</v>
      </c>
    </row>
    <row r="446" spans="1:4" x14ac:dyDescent="0.55000000000000004">
      <c r="A446" t="s">
        <v>67</v>
      </c>
      <c r="D446" t="str">
        <f t="shared" si="341"/>
        <v xml:space="preserve">  "6-12": {</v>
      </c>
    </row>
    <row r="447" spans="1:4" x14ac:dyDescent="0.55000000000000004">
      <c r="A447" t="s">
        <v>65</v>
      </c>
      <c r="B447">
        <f t="shared" ref="B447" si="342">_xlfn.NUMBERVALUE(RIGHT(A447,2))</f>
        <v>9</v>
      </c>
      <c r="D447" t="str">
        <f t="shared" ref="D447:D510" si="343">A447&amp;","</f>
        <v xml:space="preserve">    "resultPage": 9,</v>
      </c>
    </row>
    <row r="448" spans="1:4" x14ac:dyDescent="0.55000000000000004">
      <c r="A448" t="s">
        <v>763</v>
      </c>
      <c r="B448" t="str">
        <f>VLOOKUP(B447,Tabelle3!$A$2:$E$33,3,FALSE)</f>
        <v>Thrusting High</v>
      </c>
      <c r="C448" t="s">
        <v>762</v>
      </c>
      <c r="D448" t="str">
        <f t="shared" ref="D448" si="344">_xlfn.CONCAT(A448:C448)</f>
        <v xml:space="preserve">    "message":  "Thrusting High",</v>
      </c>
    </row>
    <row r="449" spans="1:4" x14ac:dyDescent="0.55000000000000004">
      <c r="A449" t="s">
        <v>764</v>
      </c>
      <c r="B449" t="str">
        <f>VLOOKUP(B447,Tabelle3!$A$2:$E$33,5,FALSE)</f>
        <v/>
      </c>
      <c r="C449" t="s">
        <v>762</v>
      </c>
      <c r="D449" t="str">
        <f t="shared" si="319"/>
        <v xml:space="preserve">    "nextInstruction":  "",</v>
      </c>
    </row>
    <row r="450" spans="1:4" x14ac:dyDescent="0.55000000000000004">
      <c r="A450" t="s">
        <v>765</v>
      </c>
      <c r="B450" t="str">
        <f>VLOOKUP(B447,Tabelle3!$A$2:$E$33,4,FALSE)</f>
        <v>""</v>
      </c>
      <c r="D450" t="str">
        <f t="shared" ref="D450:D513" si="345">IF(ISNUMBER(B450),(A450&amp;B450),"")</f>
        <v/>
      </c>
    </row>
    <row r="451" spans="1:4" x14ac:dyDescent="0.55000000000000004">
      <c r="A451" t="s">
        <v>6</v>
      </c>
      <c r="D451" t="str">
        <f t="shared" ref="D451:D514" si="346">A451</f>
        <v xml:space="preserve">  },</v>
      </c>
    </row>
    <row r="452" spans="1:4" x14ac:dyDescent="0.55000000000000004">
      <c r="A452" t="s">
        <v>68</v>
      </c>
      <c r="D452" t="str">
        <f t="shared" si="346"/>
        <v xml:space="preserve">  "6-14": {</v>
      </c>
    </row>
    <row r="453" spans="1:4" x14ac:dyDescent="0.55000000000000004">
      <c r="A453" t="s">
        <v>13</v>
      </c>
      <c r="B453">
        <f t="shared" ref="B453" si="347">_xlfn.NUMBERVALUE(RIGHT(A453,2))</f>
        <v>49</v>
      </c>
      <c r="D453" t="str">
        <f t="shared" ref="D453:D516" si="348">A453&amp;","</f>
        <v xml:space="preserve">    "resultPage": 49,</v>
      </c>
    </row>
    <row r="454" spans="1:4" x14ac:dyDescent="0.55000000000000004">
      <c r="A454" t="s">
        <v>763</v>
      </c>
      <c r="B454" t="str">
        <f>VLOOKUP(B453,Tabelle3!$A$2:$E$33,3,FALSE)</f>
        <v>Parrying Low</v>
      </c>
      <c r="C454" t="s">
        <v>762</v>
      </c>
      <c r="D454" t="str">
        <f t="shared" ref="D454" si="349">_xlfn.CONCAT(A454:C454)</f>
        <v xml:space="preserve">    "message":  "Parrying Low",</v>
      </c>
    </row>
    <row r="455" spans="1:4" x14ac:dyDescent="0.55000000000000004">
      <c r="A455" t="s">
        <v>764</v>
      </c>
      <c r="B455" t="str">
        <f>VLOOKUP(B453,Tabelle3!$A$2:$E$33,5,FALSE)</f>
        <v/>
      </c>
      <c r="C455" t="s">
        <v>762</v>
      </c>
      <c r="D455" t="str">
        <f t="shared" si="319"/>
        <v xml:space="preserve">    "nextInstruction":  "",</v>
      </c>
    </row>
    <row r="456" spans="1:4" x14ac:dyDescent="0.55000000000000004">
      <c r="A456" t="s">
        <v>765</v>
      </c>
      <c r="B456">
        <f>VLOOKUP(B453,Tabelle3!$A$2:$E$33,4,FALSE)</f>
        <v>-4</v>
      </c>
      <c r="D456" t="str">
        <f t="shared" ref="D456:D519" si="350">IF(ISNUMBER(B456),(A456&amp;B456),"")</f>
        <v xml:space="preserve">    "damageModifier": -4</v>
      </c>
    </row>
    <row r="457" spans="1:4" x14ac:dyDescent="0.55000000000000004">
      <c r="A457" t="s">
        <v>6</v>
      </c>
      <c r="D457" t="str">
        <f t="shared" ref="D457:D520" si="351">A457</f>
        <v xml:space="preserve">  },</v>
      </c>
    </row>
    <row r="458" spans="1:4" x14ac:dyDescent="0.55000000000000004">
      <c r="A458" t="s">
        <v>69</v>
      </c>
      <c r="D458" t="str">
        <f t="shared" si="351"/>
        <v xml:space="preserve">  "6-16": {</v>
      </c>
    </row>
    <row r="459" spans="1:4" x14ac:dyDescent="0.55000000000000004">
      <c r="A459" t="s">
        <v>65</v>
      </c>
      <c r="B459">
        <f t="shared" ref="B459" si="352">_xlfn.NUMBERVALUE(RIGHT(A459,2))</f>
        <v>9</v>
      </c>
      <c r="D459" t="str">
        <f t="shared" ref="D459:D522" si="353">A459&amp;","</f>
        <v xml:space="preserve">    "resultPage": 9,</v>
      </c>
    </row>
    <row r="460" spans="1:4" x14ac:dyDescent="0.55000000000000004">
      <c r="A460" t="s">
        <v>763</v>
      </c>
      <c r="B460" t="str">
        <f>VLOOKUP(B459,Tabelle3!$A$2:$E$33,3,FALSE)</f>
        <v>Thrusting High</v>
      </c>
      <c r="C460" t="s">
        <v>762</v>
      </c>
      <c r="D460" t="str">
        <f t="shared" ref="D460" si="354">_xlfn.CONCAT(A460:C460)</f>
        <v xml:space="preserve">    "message":  "Thrusting High",</v>
      </c>
    </row>
    <row r="461" spans="1:4" x14ac:dyDescent="0.55000000000000004">
      <c r="A461" t="s">
        <v>764</v>
      </c>
      <c r="B461" t="str">
        <f>VLOOKUP(B459,Tabelle3!$A$2:$E$33,5,FALSE)</f>
        <v/>
      </c>
      <c r="C461" t="s">
        <v>762</v>
      </c>
      <c r="D461" t="str">
        <f t="shared" si="319"/>
        <v xml:space="preserve">    "nextInstruction":  "",</v>
      </c>
    </row>
    <row r="462" spans="1:4" x14ac:dyDescent="0.55000000000000004">
      <c r="A462" t="s">
        <v>765</v>
      </c>
      <c r="B462" t="str">
        <f>VLOOKUP(B459,Tabelle3!$A$2:$E$33,4,FALSE)</f>
        <v>""</v>
      </c>
      <c r="D462" t="str">
        <f t="shared" ref="D462:D525" si="355">IF(ISNUMBER(B462),(A462&amp;B462),"")</f>
        <v/>
      </c>
    </row>
    <row r="463" spans="1:4" x14ac:dyDescent="0.55000000000000004">
      <c r="A463" t="s">
        <v>6</v>
      </c>
      <c r="D463" t="str">
        <f t="shared" ref="D463:D526" si="356">A463</f>
        <v xml:space="preserve">  },</v>
      </c>
    </row>
    <row r="464" spans="1:4" x14ac:dyDescent="0.55000000000000004">
      <c r="A464" t="s">
        <v>70</v>
      </c>
      <c r="D464" t="str">
        <f t="shared" si="356"/>
        <v xml:space="preserve">  "6-18": {</v>
      </c>
    </row>
    <row r="465" spans="1:4" x14ac:dyDescent="0.55000000000000004">
      <c r="A465" t="s">
        <v>63</v>
      </c>
      <c r="B465">
        <f t="shared" ref="B465" si="357">_xlfn.NUMBERVALUE(RIGHT(A465,2))</f>
        <v>17</v>
      </c>
      <c r="D465" t="str">
        <f t="shared" ref="D465:D528" si="358">A465&amp;","</f>
        <v xml:space="preserve">    "resultPage": 17,</v>
      </c>
    </row>
    <row r="466" spans="1:4" x14ac:dyDescent="0.55000000000000004">
      <c r="A466" t="s">
        <v>763</v>
      </c>
      <c r="B466" t="str">
        <f>VLOOKUP(B465,Tabelle3!$A$2:$E$33,3,FALSE)</f>
        <v>Blocking High</v>
      </c>
      <c r="C466" t="s">
        <v>762</v>
      </c>
      <c r="D466" t="str">
        <f t="shared" ref="D466" si="359">_xlfn.CONCAT(A466:C466)</f>
        <v xml:space="preserve">    "message":  "Blocking High",</v>
      </c>
    </row>
    <row r="467" spans="1:4" x14ac:dyDescent="0.55000000000000004">
      <c r="A467" t="s">
        <v>764</v>
      </c>
      <c r="B467" t="str">
        <f>VLOOKUP(B465,Tabelle3!$A$2:$E$33,5,FALSE)</f>
        <v>No Blue</v>
      </c>
      <c r="C467" t="s">
        <v>762</v>
      </c>
      <c r="D467" t="str">
        <f t="shared" si="319"/>
        <v xml:space="preserve">    "nextInstruction":  "No Blue",</v>
      </c>
    </row>
    <row r="468" spans="1:4" x14ac:dyDescent="0.55000000000000004">
      <c r="A468" t="s">
        <v>765</v>
      </c>
      <c r="B468">
        <f>VLOOKUP(B465,Tabelle3!$A$2:$E$33,4,FALSE)</f>
        <v>-4</v>
      </c>
      <c r="D468" t="str">
        <f t="shared" ref="D468:D531" si="360">IF(ISNUMBER(B468),(A468&amp;B468),"")</f>
        <v xml:space="preserve">    "damageModifier": -4</v>
      </c>
    </row>
    <row r="469" spans="1:4" x14ac:dyDescent="0.55000000000000004">
      <c r="A469" t="s">
        <v>6</v>
      </c>
      <c r="D469" t="str">
        <f t="shared" ref="D469:D532" si="361">A469</f>
        <v xml:space="preserve">  },</v>
      </c>
    </row>
    <row r="470" spans="1:4" x14ac:dyDescent="0.55000000000000004">
      <c r="A470" t="s">
        <v>71</v>
      </c>
      <c r="D470" t="str">
        <f t="shared" si="361"/>
        <v xml:space="preserve">  "6-20": {</v>
      </c>
    </row>
    <row r="471" spans="1:4" x14ac:dyDescent="0.55000000000000004">
      <c r="A471" t="s">
        <v>65</v>
      </c>
      <c r="B471">
        <f t="shared" ref="B471" si="362">_xlfn.NUMBERVALUE(RIGHT(A471,2))</f>
        <v>9</v>
      </c>
      <c r="D471" t="str">
        <f t="shared" ref="D471:D534" si="363">A471&amp;","</f>
        <v xml:space="preserve">    "resultPage": 9,</v>
      </c>
    </row>
    <row r="472" spans="1:4" x14ac:dyDescent="0.55000000000000004">
      <c r="A472" t="s">
        <v>763</v>
      </c>
      <c r="B472" t="str">
        <f>VLOOKUP(B471,Tabelle3!$A$2:$E$33,3,FALSE)</f>
        <v>Thrusting High</v>
      </c>
      <c r="C472" t="s">
        <v>762</v>
      </c>
      <c r="D472" t="str">
        <f t="shared" ref="D472" si="364">_xlfn.CONCAT(A472:C472)</f>
        <v xml:space="preserve">    "message":  "Thrusting High",</v>
      </c>
    </row>
    <row r="473" spans="1:4" x14ac:dyDescent="0.55000000000000004">
      <c r="A473" t="s">
        <v>764</v>
      </c>
      <c r="B473" t="str">
        <f>VLOOKUP(B471,Tabelle3!$A$2:$E$33,5,FALSE)</f>
        <v/>
      </c>
      <c r="C473" t="s">
        <v>762</v>
      </c>
      <c r="D473" t="str">
        <f t="shared" si="319"/>
        <v xml:space="preserve">    "nextInstruction":  "",</v>
      </c>
    </row>
    <row r="474" spans="1:4" x14ac:dyDescent="0.55000000000000004">
      <c r="A474" t="s">
        <v>765</v>
      </c>
      <c r="B474" t="str">
        <f>VLOOKUP(B471,Tabelle3!$A$2:$E$33,4,FALSE)</f>
        <v>""</v>
      </c>
      <c r="D474" t="str">
        <f t="shared" ref="D474:D537" si="365">IF(ISNUMBER(B474),(A474&amp;B474),"")</f>
        <v/>
      </c>
    </row>
    <row r="475" spans="1:4" x14ac:dyDescent="0.55000000000000004">
      <c r="A475" t="s">
        <v>6</v>
      </c>
      <c r="D475" t="str">
        <f t="shared" ref="D475:D538" si="366">A475</f>
        <v xml:space="preserve">  },</v>
      </c>
    </row>
    <row r="476" spans="1:4" x14ac:dyDescent="0.55000000000000004">
      <c r="A476" t="s">
        <v>72</v>
      </c>
      <c r="D476" t="str">
        <f t="shared" si="366"/>
        <v xml:space="preserve">  "6-22": {</v>
      </c>
    </row>
    <row r="477" spans="1:4" x14ac:dyDescent="0.55000000000000004">
      <c r="A477" t="s">
        <v>65</v>
      </c>
      <c r="B477">
        <f t="shared" ref="B477" si="367">_xlfn.NUMBERVALUE(RIGHT(A477,2))</f>
        <v>9</v>
      </c>
      <c r="D477" t="str">
        <f t="shared" ref="D477:D540" si="368">A477&amp;","</f>
        <v xml:space="preserve">    "resultPage": 9,</v>
      </c>
    </row>
    <row r="478" spans="1:4" x14ac:dyDescent="0.55000000000000004">
      <c r="A478" t="s">
        <v>763</v>
      </c>
      <c r="B478" t="str">
        <f>VLOOKUP(B477,Tabelle3!$A$2:$E$33,3,FALSE)</f>
        <v>Thrusting High</v>
      </c>
      <c r="C478" t="s">
        <v>762</v>
      </c>
      <c r="D478" t="str">
        <f t="shared" ref="D478" si="369">_xlfn.CONCAT(A478:C478)</f>
        <v xml:space="preserve">    "message":  "Thrusting High",</v>
      </c>
    </row>
    <row r="479" spans="1:4" x14ac:dyDescent="0.55000000000000004">
      <c r="A479" t="s">
        <v>764</v>
      </c>
      <c r="B479" t="str">
        <f>VLOOKUP(B477,Tabelle3!$A$2:$E$33,5,FALSE)</f>
        <v/>
      </c>
      <c r="C479" t="s">
        <v>762</v>
      </c>
      <c r="D479" t="str">
        <f t="shared" si="319"/>
        <v xml:space="preserve">    "nextInstruction":  "",</v>
      </c>
    </row>
    <row r="480" spans="1:4" x14ac:dyDescent="0.55000000000000004">
      <c r="A480" t="s">
        <v>765</v>
      </c>
      <c r="B480" t="str">
        <f>VLOOKUP(B477,Tabelle3!$A$2:$E$33,4,FALSE)</f>
        <v>""</v>
      </c>
      <c r="D480" t="str">
        <f t="shared" ref="D480:D543" si="370">IF(ISNUMBER(B480),(A480&amp;B480),"")</f>
        <v/>
      </c>
    </row>
    <row r="481" spans="1:4" x14ac:dyDescent="0.55000000000000004">
      <c r="A481" t="s">
        <v>6</v>
      </c>
      <c r="D481" t="str">
        <f t="shared" ref="D481:D544" si="371">A481</f>
        <v xml:space="preserve">  },</v>
      </c>
    </row>
    <row r="482" spans="1:4" x14ac:dyDescent="0.55000000000000004">
      <c r="A482" t="s">
        <v>73</v>
      </c>
      <c r="D482" t="str">
        <f t="shared" si="371"/>
        <v xml:space="preserve">  "6-24": {</v>
      </c>
    </row>
    <row r="483" spans="1:4" x14ac:dyDescent="0.55000000000000004">
      <c r="A483" t="s">
        <v>63</v>
      </c>
      <c r="B483">
        <f t="shared" ref="B483" si="372">_xlfn.NUMBERVALUE(RIGHT(A483,2))</f>
        <v>17</v>
      </c>
      <c r="D483" t="str">
        <f t="shared" ref="D483:D546" si="373">A483&amp;","</f>
        <v xml:space="preserve">    "resultPage": 17,</v>
      </c>
    </row>
    <row r="484" spans="1:4" x14ac:dyDescent="0.55000000000000004">
      <c r="A484" t="s">
        <v>763</v>
      </c>
      <c r="B484" t="str">
        <f>VLOOKUP(B483,Tabelle3!$A$2:$E$33,3,FALSE)</f>
        <v>Blocking High</v>
      </c>
      <c r="C484" t="s">
        <v>762</v>
      </c>
      <c r="D484" t="str">
        <f t="shared" ref="D484:D545" si="374">_xlfn.CONCAT(A484:C484)</f>
        <v xml:space="preserve">    "message":  "Blocking High",</v>
      </c>
    </row>
    <row r="485" spans="1:4" x14ac:dyDescent="0.55000000000000004">
      <c r="A485" t="s">
        <v>764</v>
      </c>
      <c r="B485" t="str">
        <f>VLOOKUP(B483,Tabelle3!$A$2:$E$33,5,FALSE)</f>
        <v>No Blue</v>
      </c>
      <c r="C485" t="s">
        <v>762</v>
      </c>
      <c r="D485" t="str">
        <f t="shared" si="374"/>
        <v xml:space="preserve">    "nextInstruction":  "No Blue",</v>
      </c>
    </row>
    <row r="486" spans="1:4" x14ac:dyDescent="0.55000000000000004">
      <c r="A486" t="s">
        <v>765</v>
      </c>
      <c r="B486">
        <f>VLOOKUP(B483,Tabelle3!$A$2:$E$33,4,FALSE)</f>
        <v>-4</v>
      </c>
      <c r="D486" t="str">
        <f t="shared" ref="D486:D549" si="375">IF(ISNUMBER(B486),(A486&amp;B486),"")</f>
        <v xml:space="preserve">    "damageModifier": -4</v>
      </c>
    </row>
    <row r="487" spans="1:4" x14ac:dyDescent="0.55000000000000004">
      <c r="A487" t="s">
        <v>6</v>
      </c>
      <c r="D487" t="str">
        <f t="shared" ref="D487:D550" si="376">A487</f>
        <v xml:space="preserve">  },</v>
      </c>
    </row>
    <row r="488" spans="1:4" x14ac:dyDescent="0.55000000000000004">
      <c r="A488" t="s">
        <v>74</v>
      </c>
      <c r="D488" t="str">
        <f t="shared" si="376"/>
        <v xml:space="preserve">  "6-26": {</v>
      </c>
    </row>
    <row r="489" spans="1:4" x14ac:dyDescent="0.55000000000000004">
      <c r="A489" t="s">
        <v>35</v>
      </c>
      <c r="B489">
        <f t="shared" ref="B489" si="377">_xlfn.NUMBERVALUE(RIGHT(A489,2))</f>
        <v>59</v>
      </c>
      <c r="D489" t="str">
        <f t="shared" ref="D489:D552" si="378">A489&amp;","</f>
        <v xml:space="preserve">    "resultPage": 59,</v>
      </c>
    </row>
    <row r="490" spans="1:4" x14ac:dyDescent="0.55000000000000004">
      <c r="A490" t="s">
        <v>763</v>
      </c>
      <c r="B490" t="str">
        <f>VLOOKUP(B489,Tabelle3!$A$2:$E$33,3,FALSE)</f>
        <v>Pushed off Balance</v>
      </c>
      <c r="C490" t="s">
        <v>762</v>
      </c>
      <c r="D490" t="str">
        <f t="shared" ref="D490" si="379">_xlfn.CONCAT(A490:C490)</f>
        <v xml:space="preserve">    "message":  "Pushed off Balance",</v>
      </c>
    </row>
    <row r="491" spans="1:4" x14ac:dyDescent="0.55000000000000004">
      <c r="A491" t="s">
        <v>764</v>
      </c>
      <c r="B491" t="str">
        <f>VLOOKUP(B489,Tabelle3!$A$2:$E$33,5,FALSE)</f>
        <v>Only Green Only Yellow</v>
      </c>
      <c r="C491" t="s">
        <v>762</v>
      </c>
      <c r="D491" t="str">
        <f t="shared" si="374"/>
        <v xml:space="preserve">    "nextInstruction":  "Only Green Only Yellow",</v>
      </c>
    </row>
    <row r="492" spans="1:4" x14ac:dyDescent="0.55000000000000004">
      <c r="A492" t="s">
        <v>765</v>
      </c>
      <c r="B492">
        <f>VLOOKUP(B489,Tabelle3!$A$2:$E$33,4,FALSE)</f>
        <v>0</v>
      </c>
      <c r="D492" t="str">
        <f t="shared" ref="D492:D555" si="380">IF(ISNUMBER(B492),(A492&amp;B492),"")</f>
        <v xml:space="preserve">    "damageModifier": 0</v>
      </c>
    </row>
    <row r="493" spans="1:4" x14ac:dyDescent="0.55000000000000004">
      <c r="A493" t="s">
        <v>6</v>
      </c>
      <c r="D493" t="str">
        <f t="shared" ref="D493:D556" si="381">A493</f>
        <v xml:space="preserve">  },</v>
      </c>
    </row>
    <row r="494" spans="1:4" x14ac:dyDescent="0.55000000000000004">
      <c r="A494" t="s">
        <v>75</v>
      </c>
      <c r="D494" t="str">
        <f t="shared" si="381"/>
        <v xml:space="preserve">  "6-28": {</v>
      </c>
    </row>
    <row r="495" spans="1:4" x14ac:dyDescent="0.55000000000000004">
      <c r="A495" t="s">
        <v>76</v>
      </c>
      <c r="B495">
        <f t="shared" ref="B495" si="382">_xlfn.NUMBERVALUE(RIGHT(A495,2))</f>
        <v>45</v>
      </c>
      <c r="D495" t="str">
        <f t="shared" ref="D495:D558" si="383">A495&amp;","</f>
        <v xml:space="preserve">    "resultPage": 45,</v>
      </c>
    </row>
    <row r="496" spans="1:4" x14ac:dyDescent="0.55000000000000004">
      <c r="A496" t="s">
        <v>763</v>
      </c>
      <c r="B496" t="str">
        <f>VLOOKUP(B495,Tabelle3!$A$2:$E$33,3,FALSE)</f>
        <v>Parrying High</v>
      </c>
      <c r="C496" t="s">
        <v>762</v>
      </c>
      <c r="D496" t="str">
        <f t="shared" ref="D496" si="384">_xlfn.CONCAT(A496:C496)</f>
        <v xml:space="preserve">    "message":  "Parrying High",</v>
      </c>
    </row>
    <row r="497" spans="1:4" x14ac:dyDescent="0.55000000000000004">
      <c r="A497" t="s">
        <v>764</v>
      </c>
      <c r="B497" t="str">
        <f>VLOOKUP(B495,Tabelle3!$A$2:$E$33,5,FALSE)</f>
        <v/>
      </c>
      <c r="C497" t="s">
        <v>762</v>
      </c>
      <c r="D497" t="str">
        <f t="shared" si="374"/>
        <v xml:space="preserve">    "nextInstruction":  "",</v>
      </c>
    </row>
    <row r="498" spans="1:4" x14ac:dyDescent="0.55000000000000004">
      <c r="A498" t="s">
        <v>765</v>
      </c>
      <c r="B498">
        <f>VLOOKUP(B495,Tabelle3!$A$2:$E$33,4,FALSE)</f>
        <v>-4</v>
      </c>
      <c r="D498" t="str">
        <f t="shared" ref="D498:D561" si="385">IF(ISNUMBER(B498),(A498&amp;B498),"")</f>
        <v xml:space="preserve">    "damageModifier": -4</v>
      </c>
    </row>
    <row r="499" spans="1:4" x14ac:dyDescent="0.55000000000000004">
      <c r="A499" t="s">
        <v>6</v>
      </c>
      <c r="D499" t="str">
        <f t="shared" ref="D499:D562" si="386">A499</f>
        <v xml:space="preserve">  },</v>
      </c>
    </row>
    <row r="500" spans="1:4" x14ac:dyDescent="0.55000000000000004">
      <c r="A500" t="s">
        <v>77</v>
      </c>
      <c r="D500" t="str">
        <f t="shared" si="386"/>
        <v xml:space="preserve">  "6-30": {</v>
      </c>
    </row>
    <row r="501" spans="1:4" x14ac:dyDescent="0.55000000000000004">
      <c r="A501" t="s">
        <v>65</v>
      </c>
      <c r="B501">
        <f t="shared" ref="B501" si="387">_xlfn.NUMBERVALUE(RIGHT(A501,2))</f>
        <v>9</v>
      </c>
      <c r="D501" t="str">
        <f t="shared" ref="D501:D564" si="388">A501&amp;","</f>
        <v xml:space="preserve">    "resultPage": 9,</v>
      </c>
    </row>
    <row r="502" spans="1:4" x14ac:dyDescent="0.55000000000000004">
      <c r="A502" t="s">
        <v>763</v>
      </c>
      <c r="B502" t="str">
        <f>VLOOKUP(B501,Tabelle3!$A$2:$E$33,3,FALSE)</f>
        <v>Thrusting High</v>
      </c>
      <c r="C502" t="s">
        <v>762</v>
      </c>
      <c r="D502" t="str">
        <f t="shared" ref="D502" si="389">_xlfn.CONCAT(A502:C502)</f>
        <v xml:space="preserve">    "message":  "Thrusting High",</v>
      </c>
    </row>
    <row r="503" spans="1:4" x14ac:dyDescent="0.55000000000000004">
      <c r="A503" t="s">
        <v>764</v>
      </c>
      <c r="B503" t="str">
        <f>VLOOKUP(B501,Tabelle3!$A$2:$E$33,5,FALSE)</f>
        <v/>
      </c>
      <c r="C503" t="s">
        <v>762</v>
      </c>
      <c r="D503" t="str">
        <f t="shared" si="374"/>
        <v xml:space="preserve">    "nextInstruction":  "",</v>
      </c>
    </row>
    <row r="504" spans="1:4" x14ac:dyDescent="0.55000000000000004">
      <c r="A504" t="s">
        <v>765</v>
      </c>
      <c r="B504" t="str">
        <f>VLOOKUP(B501,Tabelle3!$A$2:$E$33,4,FALSE)</f>
        <v>""</v>
      </c>
      <c r="D504" t="str">
        <f t="shared" ref="D504:D567" si="390">IF(ISNUMBER(B504),(A504&amp;B504),"")</f>
        <v/>
      </c>
    </row>
    <row r="505" spans="1:4" x14ac:dyDescent="0.55000000000000004">
      <c r="A505" t="s">
        <v>6</v>
      </c>
      <c r="D505" t="str">
        <f t="shared" ref="D505:D568" si="391">A505</f>
        <v xml:space="preserve">  },</v>
      </c>
    </row>
    <row r="506" spans="1:4" x14ac:dyDescent="0.55000000000000004">
      <c r="A506" t="s">
        <v>78</v>
      </c>
      <c r="D506" t="str">
        <f t="shared" si="391"/>
        <v xml:space="preserve">  "6-32": {</v>
      </c>
    </row>
    <row r="507" spans="1:4" x14ac:dyDescent="0.55000000000000004">
      <c r="A507" t="s">
        <v>76</v>
      </c>
      <c r="B507">
        <f t="shared" ref="B507" si="392">_xlfn.NUMBERVALUE(RIGHT(A507,2))</f>
        <v>45</v>
      </c>
      <c r="D507" t="str">
        <f t="shared" ref="D507:D570" si="393">A507&amp;","</f>
        <v xml:space="preserve">    "resultPage": 45,</v>
      </c>
    </row>
    <row r="508" spans="1:4" x14ac:dyDescent="0.55000000000000004">
      <c r="A508" t="s">
        <v>763</v>
      </c>
      <c r="B508" t="str">
        <f>VLOOKUP(B507,Tabelle3!$A$2:$E$33,3,FALSE)</f>
        <v>Parrying High</v>
      </c>
      <c r="C508" t="s">
        <v>762</v>
      </c>
      <c r="D508" t="str">
        <f t="shared" ref="D508" si="394">_xlfn.CONCAT(A508:C508)</f>
        <v xml:space="preserve">    "message":  "Parrying High",</v>
      </c>
    </row>
    <row r="509" spans="1:4" x14ac:dyDescent="0.55000000000000004">
      <c r="A509" t="s">
        <v>764</v>
      </c>
      <c r="B509" t="str">
        <f>VLOOKUP(B507,Tabelle3!$A$2:$E$33,5,FALSE)</f>
        <v/>
      </c>
      <c r="C509" t="s">
        <v>762</v>
      </c>
      <c r="D509" t="str">
        <f t="shared" si="374"/>
        <v xml:space="preserve">    "nextInstruction":  "",</v>
      </c>
    </row>
    <row r="510" spans="1:4" x14ac:dyDescent="0.55000000000000004">
      <c r="A510" t="s">
        <v>765</v>
      </c>
      <c r="B510">
        <f>VLOOKUP(B507,Tabelle3!$A$2:$E$33,4,FALSE)</f>
        <v>-4</v>
      </c>
      <c r="D510" t="str">
        <f t="shared" ref="D510:D573" si="395">IF(ISNUMBER(B510),(A510&amp;B510),"")</f>
        <v xml:space="preserve">    "damageModifier": -4</v>
      </c>
    </row>
    <row r="511" spans="1:4" x14ac:dyDescent="0.55000000000000004">
      <c r="A511" t="s">
        <v>6</v>
      </c>
      <c r="D511" t="str">
        <f t="shared" ref="D511:D574" si="396">A511</f>
        <v xml:space="preserve">  },</v>
      </c>
    </row>
    <row r="512" spans="1:4" x14ac:dyDescent="0.55000000000000004">
      <c r="A512" t="s">
        <v>79</v>
      </c>
      <c r="D512" t="str">
        <f t="shared" si="396"/>
        <v xml:space="preserve">  "6-34": {</v>
      </c>
    </row>
    <row r="513" spans="1:4" x14ac:dyDescent="0.55000000000000004">
      <c r="A513" t="s">
        <v>80</v>
      </c>
      <c r="B513">
        <f t="shared" ref="B513" si="397">_xlfn.NUMBERVALUE(RIGHT(A513,2))</f>
        <v>11</v>
      </c>
      <c r="D513" t="str">
        <f t="shared" ref="D513:D576" si="398">A513&amp;","</f>
        <v xml:space="preserve">    "resultPage": 11,</v>
      </c>
    </row>
    <row r="514" spans="1:4" x14ac:dyDescent="0.55000000000000004">
      <c r="A514" t="s">
        <v>763</v>
      </c>
      <c r="B514" t="str">
        <f>VLOOKUP(B513,Tabelle3!$A$2:$E$33,3,FALSE)</f>
        <v>Thrusting Low</v>
      </c>
      <c r="C514" t="s">
        <v>762</v>
      </c>
      <c r="D514" t="str">
        <f t="shared" ref="D514" si="399">_xlfn.CONCAT(A514:C514)</f>
        <v xml:space="preserve">    "message":  "Thrusting Low",</v>
      </c>
    </row>
    <row r="515" spans="1:4" x14ac:dyDescent="0.55000000000000004">
      <c r="A515" t="s">
        <v>764</v>
      </c>
      <c r="B515" t="str">
        <f>VLOOKUP(B513,Tabelle3!$A$2:$E$33,5,FALSE)</f>
        <v>No Red</v>
      </c>
      <c r="C515" t="s">
        <v>762</v>
      </c>
      <c r="D515" t="str">
        <f t="shared" si="374"/>
        <v xml:space="preserve">    "nextInstruction":  "No Red",</v>
      </c>
    </row>
    <row r="516" spans="1:4" x14ac:dyDescent="0.55000000000000004">
      <c r="A516" t="s">
        <v>765</v>
      </c>
      <c r="B516" t="str">
        <f>VLOOKUP(B513,Tabelle3!$A$2:$E$33,4,FALSE)</f>
        <v>""</v>
      </c>
      <c r="D516" t="str">
        <f t="shared" ref="D516:D579" si="400">IF(ISNUMBER(B516),(A516&amp;B516),"")</f>
        <v/>
      </c>
    </row>
    <row r="517" spans="1:4" x14ac:dyDescent="0.55000000000000004">
      <c r="A517" t="s">
        <v>6</v>
      </c>
      <c r="D517" t="str">
        <f t="shared" ref="D517:D580" si="401">A517</f>
        <v xml:space="preserve">  },</v>
      </c>
    </row>
    <row r="518" spans="1:4" x14ac:dyDescent="0.55000000000000004">
      <c r="A518" t="s">
        <v>81</v>
      </c>
      <c r="D518" t="str">
        <f t="shared" si="401"/>
        <v xml:space="preserve">  "6-36": {</v>
      </c>
    </row>
    <row r="519" spans="1:4" x14ac:dyDescent="0.55000000000000004">
      <c r="A519" t="s">
        <v>82</v>
      </c>
      <c r="B519">
        <f t="shared" ref="B519" si="402">_xlfn.NUMBERVALUE(RIGHT(A519,2))</f>
        <v>55</v>
      </c>
      <c r="D519" t="str">
        <f t="shared" ref="D519:D582" si="403">A519&amp;","</f>
        <v xml:space="preserve">    "resultPage": 55,</v>
      </c>
    </row>
    <row r="520" spans="1:4" x14ac:dyDescent="0.55000000000000004">
      <c r="A520" t="s">
        <v>763</v>
      </c>
      <c r="B520" t="str">
        <f>VLOOKUP(B519,Tabelle3!$A$2:$E$33,3,FALSE)</f>
        <v>Shield Smahed</v>
      </c>
      <c r="C520" t="s">
        <v>762</v>
      </c>
      <c r="D520" t="str">
        <f t="shared" ref="D520" si="404">_xlfn.CONCAT(A520:C520)</f>
        <v xml:space="preserve">    "message":  "Shield Smahed",</v>
      </c>
    </row>
    <row r="521" spans="1:4" x14ac:dyDescent="0.55000000000000004">
      <c r="A521" t="s">
        <v>764</v>
      </c>
      <c r="B521" t="str">
        <f>VLOOKUP(B519,Tabelle3!$A$2:$E$33,5,FALSE)</f>
        <v>No Blocks for the rest of the game No Protected Attacks for the rest of the game</v>
      </c>
      <c r="C521" t="s">
        <v>762</v>
      </c>
      <c r="D521" t="str">
        <f t="shared" si="374"/>
        <v xml:space="preserve">    "nextInstruction":  "No Blocks for the rest of the game No Protected Attacks for the rest of the game",</v>
      </c>
    </row>
    <row r="522" spans="1:4" x14ac:dyDescent="0.55000000000000004">
      <c r="A522" t="s">
        <v>765</v>
      </c>
      <c r="B522">
        <f>VLOOKUP(B519,Tabelle3!$A$2:$E$33,4,FALSE)</f>
        <v>0</v>
      </c>
      <c r="D522" t="str">
        <f t="shared" ref="D522:D585" si="405">IF(ISNUMBER(B522),(A522&amp;B522),"")</f>
        <v xml:space="preserve">    "damageModifier": 0</v>
      </c>
    </row>
    <row r="523" spans="1:4" x14ac:dyDescent="0.55000000000000004">
      <c r="A523" t="s">
        <v>6</v>
      </c>
      <c r="D523" t="str">
        <f t="shared" ref="D523:D586" si="406">A523</f>
        <v xml:space="preserve">  },</v>
      </c>
    </row>
    <row r="524" spans="1:4" x14ac:dyDescent="0.55000000000000004">
      <c r="A524" t="s">
        <v>83</v>
      </c>
      <c r="D524" t="str">
        <f t="shared" si="406"/>
        <v xml:space="preserve">  "6-38": {</v>
      </c>
    </row>
    <row r="525" spans="1:4" x14ac:dyDescent="0.55000000000000004">
      <c r="A525" t="s">
        <v>65</v>
      </c>
      <c r="B525">
        <f t="shared" ref="B525" si="407">_xlfn.NUMBERVALUE(RIGHT(A525,2))</f>
        <v>9</v>
      </c>
      <c r="D525" t="str">
        <f t="shared" ref="D525:D588" si="408">A525&amp;","</f>
        <v xml:space="preserve">    "resultPage": 9,</v>
      </c>
    </row>
    <row r="526" spans="1:4" x14ac:dyDescent="0.55000000000000004">
      <c r="A526" t="s">
        <v>763</v>
      </c>
      <c r="B526" t="str">
        <f>VLOOKUP(B525,Tabelle3!$A$2:$E$33,3,FALSE)</f>
        <v>Thrusting High</v>
      </c>
      <c r="C526" t="s">
        <v>762</v>
      </c>
      <c r="D526" t="str">
        <f t="shared" ref="D526" si="409">_xlfn.CONCAT(A526:C526)</f>
        <v xml:space="preserve">    "message":  "Thrusting High",</v>
      </c>
    </row>
    <row r="527" spans="1:4" x14ac:dyDescent="0.55000000000000004">
      <c r="A527" t="s">
        <v>764</v>
      </c>
      <c r="B527" t="str">
        <f>VLOOKUP(B525,Tabelle3!$A$2:$E$33,5,FALSE)</f>
        <v/>
      </c>
      <c r="C527" t="s">
        <v>762</v>
      </c>
      <c r="D527" t="str">
        <f t="shared" si="374"/>
        <v xml:space="preserve">    "nextInstruction":  "",</v>
      </c>
    </row>
    <row r="528" spans="1:4" x14ac:dyDescent="0.55000000000000004">
      <c r="A528" t="s">
        <v>765</v>
      </c>
      <c r="B528" t="str">
        <f>VLOOKUP(B525,Tabelle3!$A$2:$E$33,4,FALSE)</f>
        <v>""</v>
      </c>
      <c r="D528" t="str">
        <f t="shared" ref="D528:D591" si="410">IF(ISNUMBER(B528),(A528&amp;B528),"")</f>
        <v/>
      </c>
    </row>
    <row r="529" spans="1:4" x14ac:dyDescent="0.55000000000000004">
      <c r="A529" t="s">
        <v>6</v>
      </c>
      <c r="D529" t="str">
        <f t="shared" ref="D529:D592" si="411">A529</f>
        <v xml:space="preserve">  },</v>
      </c>
    </row>
    <row r="530" spans="1:4" x14ac:dyDescent="0.55000000000000004">
      <c r="A530" t="s">
        <v>84</v>
      </c>
      <c r="D530" t="str">
        <f t="shared" si="411"/>
        <v xml:space="preserve">  "6-40": {</v>
      </c>
    </row>
    <row r="531" spans="1:4" x14ac:dyDescent="0.55000000000000004">
      <c r="A531" t="s">
        <v>10</v>
      </c>
      <c r="B531">
        <f t="shared" ref="B531" si="412">_xlfn.NUMBERVALUE(RIGHT(A531,2))</f>
        <v>31</v>
      </c>
      <c r="D531" t="str">
        <f t="shared" ref="D531:D594" si="413">A531&amp;","</f>
        <v xml:space="preserve">    "resultPage": 31,</v>
      </c>
    </row>
    <row r="532" spans="1:4" x14ac:dyDescent="0.55000000000000004">
      <c r="A532" t="s">
        <v>763</v>
      </c>
      <c r="B532" t="str">
        <f>VLOOKUP(B531,Tabelle3!$A$2:$E$33,3,FALSE)</f>
        <v>Arm Wound</v>
      </c>
      <c r="C532" t="s">
        <v>762</v>
      </c>
      <c r="D532" t="str">
        <f t="shared" ref="D532" si="414">_xlfn.CONCAT(A532:C532)</f>
        <v xml:space="preserve">    "message":  "Arm Wound",</v>
      </c>
    </row>
    <row r="533" spans="1:4" x14ac:dyDescent="0.55000000000000004">
      <c r="A533" t="s">
        <v>764</v>
      </c>
      <c r="B533" t="str">
        <f>VLOOKUP(B531,Tabelle3!$A$2:$E$33,5,FALSE)</f>
        <v>No Orange</v>
      </c>
      <c r="C533" t="s">
        <v>762</v>
      </c>
      <c r="D533" t="str">
        <f t="shared" si="374"/>
        <v xml:space="preserve">    "nextInstruction":  "No Orange",</v>
      </c>
    </row>
    <row r="534" spans="1:4" x14ac:dyDescent="0.55000000000000004">
      <c r="A534" t="s">
        <v>765</v>
      </c>
      <c r="B534">
        <f>VLOOKUP(B531,Tabelle3!$A$2:$E$33,4,FALSE)</f>
        <v>3</v>
      </c>
      <c r="D534" t="str">
        <f t="shared" ref="D534:D597" si="415">IF(ISNUMBER(B534),(A534&amp;B534),"")</f>
        <v xml:space="preserve">    "damageModifier": 3</v>
      </c>
    </row>
    <row r="535" spans="1:4" x14ac:dyDescent="0.55000000000000004">
      <c r="A535" t="s">
        <v>6</v>
      </c>
      <c r="D535" t="str">
        <f t="shared" ref="D535:D598" si="416">A535</f>
        <v xml:space="preserve">  },</v>
      </c>
    </row>
    <row r="536" spans="1:4" x14ac:dyDescent="0.55000000000000004">
      <c r="A536" t="s">
        <v>85</v>
      </c>
      <c r="D536" t="str">
        <f t="shared" si="416"/>
        <v xml:space="preserve">  "6-42": {</v>
      </c>
    </row>
    <row r="537" spans="1:4" x14ac:dyDescent="0.55000000000000004">
      <c r="A537" t="s">
        <v>65</v>
      </c>
      <c r="B537">
        <f t="shared" ref="B537" si="417">_xlfn.NUMBERVALUE(RIGHT(A537,2))</f>
        <v>9</v>
      </c>
      <c r="D537" t="str">
        <f t="shared" ref="D537:D600" si="418">A537&amp;","</f>
        <v xml:space="preserve">    "resultPage": 9,</v>
      </c>
    </row>
    <row r="538" spans="1:4" x14ac:dyDescent="0.55000000000000004">
      <c r="A538" t="s">
        <v>763</v>
      </c>
      <c r="B538" t="str">
        <f>VLOOKUP(B537,Tabelle3!$A$2:$E$33,3,FALSE)</f>
        <v>Thrusting High</v>
      </c>
      <c r="C538" t="s">
        <v>762</v>
      </c>
      <c r="D538" t="str">
        <f t="shared" ref="D538" si="419">_xlfn.CONCAT(A538:C538)</f>
        <v xml:space="preserve">    "message":  "Thrusting High",</v>
      </c>
    </row>
    <row r="539" spans="1:4" x14ac:dyDescent="0.55000000000000004">
      <c r="A539" t="s">
        <v>764</v>
      </c>
      <c r="B539" t="str">
        <f>VLOOKUP(B537,Tabelle3!$A$2:$E$33,5,FALSE)</f>
        <v/>
      </c>
      <c r="C539" t="s">
        <v>762</v>
      </c>
      <c r="D539" t="str">
        <f t="shared" si="374"/>
        <v xml:space="preserve">    "nextInstruction":  "",</v>
      </c>
    </row>
    <row r="540" spans="1:4" x14ac:dyDescent="0.55000000000000004">
      <c r="A540" t="s">
        <v>765</v>
      </c>
      <c r="B540" t="str">
        <f>VLOOKUP(B537,Tabelle3!$A$2:$E$33,4,FALSE)</f>
        <v>""</v>
      </c>
      <c r="D540" t="str">
        <f t="shared" ref="D540:D603" si="420">IF(ISNUMBER(B540),(A540&amp;B540),"")</f>
        <v/>
      </c>
    </row>
    <row r="541" spans="1:4" x14ac:dyDescent="0.55000000000000004">
      <c r="A541" t="s">
        <v>6</v>
      </c>
      <c r="D541" t="str">
        <f t="shared" ref="D541:D604" si="421">A541</f>
        <v xml:space="preserve">  },</v>
      </c>
    </row>
    <row r="542" spans="1:4" x14ac:dyDescent="0.55000000000000004">
      <c r="A542" t="s">
        <v>86</v>
      </c>
      <c r="D542" t="str">
        <f t="shared" si="421"/>
        <v xml:space="preserve">  "6-44": {</v>
      </c>
    </row>
    <row r="543" spans="1:4" x14ac:dyDescent="0.55000000000000004">
      <c r="A543" t="s">
        <v>76</v>
      </c>
      <c r="B543">
        <f t="shared" ref="B543" si="422">_xlfn.NUMBERVALUE(RIGHT(A543,2))</f>
        <v>45</v>
      </c>
      <c r="D543" t="str">
        <f t="shared" ref="D543:D606" si="423">A543&amp;","</f>
        <v xml:space="preserve">    "resultPage": 45,</v>
      </c>
    </row>
    <row r="544" spans="1:4" x14ac:dyDescent="0.55000000000000004">
      <c r="A544" t="s">
        <v>763</v>
      </c>
      <c r="B544" t="str">
        <f>VLOOKUP(B543,Tabelle3!$A$2:$E$33,3,FALSE)</f>
        <v>Parrying High</v>
      </c>
      <c r="C544" t="s">
        <v>762</v>
      </c>
      <c r="D544" t="str">
        <f t="shared" ref="D544" si="424">_xlfn.CONCAT(A544:C544)</f>
        <v xml:space="preserve">    "message":  "Parrying High",</v>
      </c>
    </row>
    <row r="545" spans="1:4" x14ac:dyDescent="0.55000000000000004">
      <c r="A545" t="s">
        <v>764</v>
      </c>
      <c r="B545" t="str">
        <f>VLOOKUP(B543,Tabelle3!$A$2:$E$33,5,FALSE)</f>
        <v/>
      </c>
      <c r="C545" t="s">
        <v>762</v>
      </c>
      <c r="D545" t="str">
        <f t="shared" si="374"/>
        <v xml:space="preserve">    "nextInstruction":  "",</v>
      </c>
    </row>
    <row r="546" spans="1:4" x14ac:dyDescent="0.55000000000000004">
      <c r="A546" t="s">
        <v>765</v>
      </c>
      <c r="B546">
        <f>VLOOKUP(B543,Tabelle3!$A$2:$E$33,4,FALSE)</f>
        <v>-4</v>
      </c>
      <c r="D546" t="str">
        <f t="shared" ref="D546:D609" si="425">IF(ISNUMBER(B546),(A546&amp;B546),"")</f>
        <v xml:space="preserve">    "damageModifier": -4</v>
      </c>
    </row>
    <row r="547" spans="1:4" x14ac:dyDescent="0.55000000000000004">
      <c r="A547" t="s">
        <v>6</v>
      </c>
      <c r="D547" t="str">
        <f t="shared" ref="D547:D610" si="426">A547</f>
        <v xml:space="preserve">  },</v>
      </c>
    </row>
    <row r="548" spans="1:4" x14ac:dyDescent="0.55000000000000004">
      <c r="A548" t="s">
        <v>87</v>
      </c>
      <c r="D548" t="str">
        <f t="shared" si="426"/>
        <v xml:space="preserve">  "6-46": {</v>
      </c>
    </row>
    <row r="549" spans="1:4" x14ac:dyDescent="0.55000000000000004">
      <c r="A549" t="s">
        <v>65</v>
      </c>
      <c r="B549">
        <f t="shared" ref="B549" si="427">_xlfn.NUMBERVALUE(RIGHT(A549,2))</f>
        <v>9</v>
      </c>
      <c r="D549" t="str">
        <f t="shared" ref="D549:D612" si="428">A549&amp;","</f>
        <v xml:space="preserve">    "resultPage": 9,</v>
      </c>
    </row>
    <row r="550" spans="1:4" x14ac:dyDescent="0.55000000000000004">
      <c r="A550" t="s">
        <v>763</v>
      </c>
      <c r="B550" t="str">
        <f>VLOOKUP(B549,Tabelle3!$A$2:$E$33,3,FALSE)</f>
        <v>Thrusting High</v>
      </c>
      <c r="C550" t="s">
        <v>762</v>
      </c>
      <c r="D550" t="str">
        <f t="shared" ref="D550:D611" si="429">_xlfn.CONCAT(A550:C550)</f>
        <v xml:space="preserve">    "message":  "Thrusting High",</v>
      </c>
    </row>
    <row r="551" spans="1:4" x14ac:dyDescent="0.55000000000000004">
      <c r="A551" t="s">
        <v>764</v>
      </c>
      <c r="B551" t="str">
        <f>VLOOKUP(B549,Tabelle3!$A$2:$E$33,5,FALSE)</f>
        <v/>
      </c>
      <c r="C551" t="s">
        <v>762</v>
      </c>
      <c r="D551" t="str">
        <f t="shared" si="429"/>
        <v xml:space="preserve">    "nextInstruction":  "",</v>
      </c>
    </row>
    <row r="552" spans="1:4" x14ac:dyDescent="0.55000000000000004">
      <c r="A552" t="s">
        <v>765</v>
      </c>
      <c r="B552" t="str">
        <f>VLOOKUP(B549,Tabelle3!$A$2:$E$33,4,FALSE)</f>
        <v>""</v>
      </c>
      <c r="D552" t="str">
        <f t="shared" ref="D552:D615" si="430">IF(ISNUMBER(B552),(A552&amp;B552),"")</f>
        <v/>
      </c>
    </row>
    <row r="553" spans="1:4" x14ac:dyDescent="0.55000000000000004">
      <c r="A553" t="s">
        <v>6</v>
      </c>
      <c r="D553" t="str">
        <f t="shared" ref="D553:D616" si="431">A553</f>
        <v xml:space="preserve">  },</v>
      </c>
    </row>
    <row r="554" spans="1:4" x14ac:dyDescent="0.55000000000000004">
      <c r="A554" t="s">
        <v>88</v>
      </c>
      <c r="D554" t="str">
        <f t="shared" si="431"/>
        <v xml:space="preserve">  "6-48": {</v>
      </c>
    </row>
    <row r="555" spans="1:4" x14ac:dyDescent="0.55000000000000004">
      <c r="A555" t="s">
        <v>76</v>
      </c>
      <c r="B555">
        <f t="shared" ref="B555" si="432">_xlfn.NUMBERVALUE(RIGHT(A555,2))</f>
        <v>45</v>
      </c>
      <c r="D555" t="str">
        <f t="shared" ref="D555:D618" si="433">A555&amp;","</f>
        <v xml:space="preserve">    "resultPage": 45,</v>
      </c>
    </row>
    <row r="556" spans="1:4" x14ac:dyDescent="0.55000000000000004">
      <c r="A556" t="s">
        <v>763</v>
      </c>
      <c r="B556" t="str">
        <f>VLOOKUP(B555,Tabelle3!$A$2:$E$33,3,FALSE)</f>
        <v>Parrying High</v>
      </c>
      <c r="C556" t="s">
        <v>762</v>
      </c>
      <c r="D556" t="str">
        <f t="shared" ref="D556" si="434">_xlfn.CONCAT(A556:C556)</f>
        <v xml:space="preserve">    "message":  "Parrying High",</v>
      </c>
    </row>
    <row r="557" spans="1:4" x14ac:dyDescent="0.55000000000000004">
      <c r="A557" t="s">
        <v>764</v>
      </c>
      <c r="B557" t="str">
        <f>VLOOKUP(B555,Tabelle3!$A$2:$E$33,5,FALSE)</f>
        <v/>
      </c>
      <c r="C557" t="s">
        <v>762</v>
      </c>
      <c r="D557" t="str">
        <f t="shared" si="429"/>
        <v xml:space="preserve">    "nextInstruction":  "",</v>
      </c>
    </row>
    <row r="558" spans="1:4" x14ac:dyDescent="0.55000000000000004">
      <c r="A558" t="s">
        <v>765</v>
      </c>
      <c r="B558">
        <f>VLOOKUP(B555,Tabelle3!$A$2:$E$33,4,FALSE)</f>
        <v>-4</v>
      </c>
      <c r="D558" t="str">
        <f t="shared" ref="D558:D621" si="435">IF(ISNUMBER(B558),(A558&amp;B558),"")</f>
        <v xml:space="preserve">    "damageModifier": -4</v>
      </c>
    </row>
    <row r="559" spans="1:4" x14ac:dyDescent="0.55000000000000004">
      <c r="A559" t="s">
        <v>6</v>
      </c>
      <c r="D559" t="str">
        <f t="shared" ref="D559:D622" si="436">A559</f>
        <v xml:space="preserve">  },</v>
      </c>
    </row>
    <row r="560" spans="1:4" x14ac:dyDescent="0.55000000000000004">
      <c r="A560" t="s">
        <v>89</v>
      </c>
      <c r="D560" t="str">
        <f t="shared" si="436"/>
        <v xml:space="preserve">  "8-4": {</v>
      </c>
    </row>
    <row r="561" spans="1:4" x14ac:dyDescent="0.55000000000000004">
      <c r="A561" t="s">
        <v>90</v>
      </c>
      <c r="B561">
        <f t="shared" ref="B561" si="437">_xlfn.NUMBERVALUE(RIGHT(A561,2))</f>
        <v>33</v>
      </c>
      <c r="D561" t="str">
        <f t="shared" ref="D561:D624" si="438">A561&amp;","</f>
        <v xml:space="preserve">    "resultPage": 33,</v>
      </c>
    </row>
    <row r="562" spans="1:4" x14ac:dyDescent="0.55000000000000004">
      <c r="A562" t="s">
        <v>763</v>
      </c>
      <c r="B562" t="str">
        <f>VLOOKUP(B561,Tabelle3!$A$2:$E$33,3,FALSE)</f>
        <v>Dodging</v>
      </c>
      <c r="C562" t="s">
        <v>762</v>
      </c>
      <c r="D562" t="str">
        <f t="shared" ref="D562" si="439">_xlfn.CONCAT(A562:C562)</f>
        <v xml:space="preserve">    "message":  "Dodging",</v>
      </c>
    </row>
    <row r="563" spans="1:4" x14ac:dyDescent="0.55000000000000004">
      <c r="A563" t="s">
        <v>764</v>
      </c>
      <c r="B563" t="str">
        <f>VLOOKUP(B561,Tabelle3!$A$2:$E$33,5,FALSE)</f>
        <v>Add + 2 to any DownSwing Add + 2 to any SideSwing</v>
      </c>
      <c r="C563" t="s">
        <v>762</v>
      </c>
      <c r="D563" t="str">
        <f t="shared" si="429"/>
        <v xml:space="preserve">    "nextInstruction":  "Add + 2 to any DownSwing Add + 2 to any SideSwing",</v>
      </c>
    </row>
    <row r="564" spans="1:4" x14ac:dyDescent="0.55000000000000004">
      <c r="A564" t="s">
        <v>765</v>
      </c>
      <c r="B564" t="str">
        <f>VLOOKUP(B561,Tabelle3!$A$2:$E$33,4,FALSE)</f>
        <v>""</v>
      </c>
      <c r="D564" t="str">
        <f t="shared" ref="D564:D627" si="440">IF(ISNUMBER(B564),(A564&amp;B564),"")</f>
        <v/>
      </c>
    </row>
    <row r="565" spans="1:4" x14ac:dyDescent="0.55000000000000004">
      <c r="A565" t="s">
        <v>6</v>
      </c>
      <c r="D565" t="str">
        <f t="shared" ref="D565:D628" si="441">A565</f>
        <v xml:space="preserve">  },</v>
      </c>
    </row>
    <row r="566" spans="1:4" x14ac:dyDescent="0.55000000000000004">
      <c r="A566" t="s">
        <v>91</v>
      </c>
      <c r="D566" t="str">
        <f t="shared" si="441"/>
        <v xml:space="preserve">  "8-6": {</v>
      </c>
    </row>
    <row r="567" spans="1:4" x14ac:dyDescent="0.55000000000000004">
      <c r="A567" t="s">
        <v>90</v>
      </c>
      <c r="B567">
        <f t="shared" ref="B567" si="442">_xlfn.NUMBERVALUE(RIGHT(A567,2))</f>
        <v>33</v>
      </c>
      <c r="D567" t="str">
        <f t="shared" ref="D567:D630" si="443">A567&amp;","</f>
        <v xml:space="preserve">    "resultPage": 33,</v>
      </c>
    </row>
    <row r="568" spans="1:4" x14ac:dyDescent="0.55000000000000004">
      <c r="A568" t="s">
        <v>763</v>
      </c>
      <c r="B568" t="str">
        <f>VLOOKUP(B567,Tabelle3!$A$2:$E$33,3,FALSE)</f>
        <v>Dodging</v>
      </c>
      <c r="C568" t="s">
        <v>762</v>
      </c>
      <c r="D568" t="str">
        <f t="shared" ref="D568" si="444">_xlfn.CONCAT(A568:C568)</f>
        <v xml:space="preserve">    "message":  "Dodging",</v>
      </c>
    </row>
    <row r="569" spans="1:4" x14ac:dyDescent="0.55000000000000004">
      <c r="A569" t="s">
        <v>764</v>
      </c>
      <c r="B569" t="str">
        <f>VLOOKUP(B567,Tabelle3!$A$2:$E$33,5,FALSE)</f>
        <v>Add + 2 to any DownSwing Add + 2 to any SideSwing</v>
      </c>
      <c r="C569" t="s">
        <v>762</v>
      </c>
      <c r="D569" t="str">
        <f t="shared" si="429"/>
        <v xml:space="preserve">    "nextInstruction":  "Add + 2 to any DownSwing Add + 2 to any SideSwing",</v>
      </c>
    </row>
    <row r="570" spans="1:4" x14ac:dyDescent="0.55000000000000004">
      <c r="A570" t="s">
        <v>765</v>
      </c>
      <c r="B570" t="str">
        <f>VLOOKUP(B567,Tabelle3!$A$2:$E$33,4,FALSE)</f>
        <v>""</v>
      </c>
      <c r="D570" t="str">
        <f t="shared" ref="D570:D633" si="445">IF(ISNUMBER(B570),(A570&amp;B570),"")</f>
        <v/>
      </c>
    </row>
    <row r="571" spans="1:4" x14ac:dyDescent="0.55000000000000004">
      <c r="A571" t="s">
        <v>6</v>
      </c>
      <c r="D571" t="str">
        <f t="shared" ref="D571:D634" si="446">A571</f>
        <v xml:space="preserve">  },</v>
      </c>
    </row>
    <row r="572" spans="1:4" x14ac:dyDescent="0.55000000000000004">
      <c r="A572" t="s">
        <v>92</v>
      </c>
      <c r="D572" t="str">
        <f t="shared" si="446"/>
        <v xml:space="preserve">  "8-8": {</v>
      </c>
    </row>
    <row r="573" spans="1:4" x14ac:dyDescent="0.55000000000000004">
      <c r="A573" t="s">
        <v>90</v>
      </c>
      <c r="B573">
        <f t="shared" ref="B573" si="447">_xlfn.NUMBERVALUE(RIGHT(A573,2))</f>
        <v>33</v>
      </c>
      <c r="D573" t="str">
        <f t="shared" ref="D573:D636" si="448">A573&amp;","</f>
        <v xml:space="preserve">    "resultPage": 33,</v>
      </c>
    </row>
    <row r="574" spans="1:4" x14ac:dyDescent="0.55000000000000004">
      <c r="A574" t="s">
        <v>763</v>
      </c>
      <c r="B574" t="str">
        <f>VLOOKUP(B573,Tabelle3!$A$2:$E$33,3,FALSE)</f>
        <v>Dodging</v>
      </c>
      <c r="C574" t="s">
        <v>762</v>
      </c>
      <c r="D574" t="str">
        <f t="shared" ref="D574" si="449">_xlfn.CONCAT(A574:C574)</f>
        <v xml:space="preserve">    "message":  "Dodging",</v>
      </c>
    </row>
    <row r="575" spans="1:4" x14ac:dyDescent="0.55000000000000004">
      <c r="A575" t="s">
        <v>764</v>
      </c>
      <c r="B575" t="str">
        <f>VLOOKUP(B573,Tabelle3!$A$2:$E$33,5,FALSE)</f>
        <v>Add + 2 to any DownSwing Add + 2 to any SideSwing</v>
      </c>
      <c r="C575" t="s">
        <v>762</v>
      </c>
      <c r="D575" t="str">
        <f t="shared" si="429"/>
        <v xml:space="preserve">    "nextInstruction":  "Add + 2 to any DownSwing Add + 2 to any SideSwing",</v>
      </c>
    </row>
    <row r="576" spans="1:4" x14ac:dyDescent="0.55000000000000004">
      <c r="A576" t="s">
        <v>765</v>
      </c>
      <c r="B576" t="str">
        <f>VLOOKUP(B573,Tabelle3!$A$2:$E$33,4,FALSE)</f>
        <v>""</v>
      </c>
      <c r="D576" t="str">
        <f t="shared" ref="D576:D639" si="450">IF(ISNUMBER(B576),(A576&amp;B576),"")</f>
        <v/>
      </c>
    </row>
    <row r="577" spans="1:4" x14ac:dyDescent="0.55000000000000004">
      <c r="A577" t="s">
        <v>6</v>
      </c>
      <c r="D577" t="str">
        <f t="shared" ref="D577:D640" si="451">A577</f>
        <v xml:space="preserve">  },</v>
      </c>
    </row>
    <row r="578" spans="1:4" x14ac:dyDescent="0.55000000000000004">
      <c r="A578" t="s">
        <v>93</v>
      </c>
      <c r="D578" t="str">
        <f t="shared" si="451"/>
        <v xml:space="preserve">  "8-10": {</v>
      </c>
    </row>
    <row r="579" spans="1:4" x14ac:dyDescent="0.55000000000000004">
      <c r="A579" t="s">
        <v>58</v>
      </c>
      <c r="B579">
        <f t="shared" ref="B579" si="452">_xlfn.NUMBERVALUE(RIGHT(A579,2))</f>
        <v>19</v>
      </c>
      <c r="D579" t="str">
        <f t="shared" ref="D579:D642" si="453">A579&amp;","</f>
        <v xml:space="preserve">    "resultPage": 19,</v>
      </c>
    </row>
    <row r="580" spans="1:4" x14ac:dyDescent="0.55000000000000004">
      <c r="A580" t="s">
        <v>763</v>
      </c>
      <c r="B580" t="str">
        <f>VLOOKUP(B579,Tabelle3!$A$2:$E$33,3,FALSE)</f>
        <v>Struck off Balance</v>
      </c>
      <c r="C580" t="s">
        <v>762</v>
      </c>
      <c r="D580" t="str">
        <f t="shared" ref="D580" si="454">_xlfn.CONCAT(A580:C580)</f>
        <v xml:space="preserve">    "message":  "Struck off Balance",</v>
      </c>
    </row>
    <row r="581" spans="1:4" x14ac:dyDescent="0.55000000000000004">
      <c r="A581" t="s">
        <v>764</v>
      </c>
      <c r="B581" t="str">
        <f>VLOOKUP(B579,Tabelle3!$A$2:$E$33,5,FALSE)</f>
        <v>Only Green Only Yellow</v>
      </c>
      <c r="C581" t="s">
        <v>762</v>
      </c>
      <c r="D581" t="str">
        <f t="shared" si="429"/>
        <v xml:space="preserve">    "nextInstruction":  "Only Green Only Yellow",</v>
      </c>
    </row>
    <row r="582" spans="1:4" x14ac:dyDescent="0.55000000000000004">
      <c r="A582" t="s">
        <v>765</v>
      </c>
      <c r="B582">
        <f>VLOOKUP(B579,Tabelle3!$A$2:$E$33,4,FALSE)</f>
        <v>0</v>
      </c>
      <c r="D582" t="str">
        <f t="shared" ref="D582:D645" si="455">IF(ISNUMBER(B582),(A582&amp;B582),"")</f>
        <v xml:space="preserve">    "damageModifier": 0</v>
      </c>
    </row>
    <row r="583" spans="1:4" x14ac:dyDescent="0.55000000000000004">
      <c r="A583" t="s">
        <v>6</v>
      </c>
      <c r="D583" t="str">
        <f t="shared" ref="D583:D646" si="456">A583</f>
        <v xml:space="preserve">  },</v>
      </c>
    </row>
    <row r="584" spans="1:4" x14ac:dyDescent="0.55000000000000004">
      <c r="A584" t="s">
        <v>94</v>
      </c>
      <c r="D584" t="str">
        <f t="shared" si="456"/>
        <v xml:space="preserve">  "8-12": {</v>
      </c>
    </row>
    <row r="585" spans="1:4" x14ac:dyDescent="0.55000000000000004">
      <c r="A585" t="s">
        <v>58</v>
      </c>
      <c r="B585">
        <f t="shared" ref="B585" si="457">_xlfn.NUMBERVALUE(RIGHT(A585,2))</f>
        <v>19</v>
      </c>
      <c r="D585" t="str">
        <f t="shared" ref="D585:D648" si="458">A585&amp;","</f>
        <v xml:space="preserve">    "resultPage": 19,</v>
      </c>
    </row>
    <row r="586" spans="1:4" x14ac:dyDescent="0.55000000000000004">
      <c r="A586" t="s">
        <v>763</v>
      </c>
      <c r="B586" t="str">
        <f>VLOOKUP(B585,Tabelle3!$A$2:$E$33,3,FALSE)</f>
        <v>Struck off Balance</v>
      </c>
      <c r="C586" t="s">
        <v>762</v>
      </c>
      <c r="D586" t="str">
        <f t="shared" ref="D586" si="459">_xlfn.CONCAT(A586:C586)</f>
        <v xml:space="preserve">    "message":  "Struck off Balance",</v>
      </c>
    </row>
    <row r="587" spans="1:4" x14ac:dyDescent="0.55000000000000004">
      <c r="A587" t="s">
        <v>764</v>
      </c>
      <c r="B587" t="str">
        <f>VLOOKUP(B585,Tabelle3!$A$2:$E$33,5,FALSE)</f>
        <v>Only Green Only Yellow</v>
      </c>
      <c r="C587" t="s">
        <v>762</v>
      </c>
      <c r="D587" t="str">
        <f t="shared" si="429"/>
        <v xml:space="preserve">    "nextInstruction":  "Only Green Only Yellow",</v>
      </c>
    </row>
    <row r="588" spans="1:4" x14ac:dyDescent="0.55000000000000004">
      <c r="A588" t="s">
        <v>765</v>
      </c>
      <c r="B588">
        <f>VLOOKUP(B585,Tabelle3!$A$2:$E$33,4,FALSE)</f>
        <v>0</v>
      </c>
      <c r="D588" t="str">
        <f t="shared" ref="D588:D651" si="460">IF(ISNUMBER(B588),(A588&amp;B588),"")</f>
        <v xml:space="preserve">    "damageModifier": 0</v>
      </c>
    </row>
    <row r="589" spans="1:4" x14ac:dyDescent="0.55000000000000004">
      <c r="A589" t="s">
        <v>6</v>
      </c>
      <c r="D589" t="str">
        <f t="shared" ref="D589:D652" si="461">A589</f>
        <v xml:space="preserve">  },</v>
      </c>
    </row>
    <row r="590" spans="1:4" x14ac:dyDescent="0.55000000000000004">
      <c r="A590" t="s">
        <v>95</v>
      </c>
      <c r="D590" t="str">
        <f t="shared" si="461"/>
        <v xml:space="preserve">  "8-14": {</v>
      </c>
    </row>
    <row r="591" spans="1:4" x14ac:dyDescent="0.55000000000000004">
      <c r="A591" t="s">
        <v>96</v>
      </c>
      <c r="B591">
        <f t="shared" ref="B591" si="462">_xlfn.NUMBERVALUE(RIGHT(A591,2))</f>
        <v>23</v>
      </c>
      <c r="D591" t="str">
        <f t="shared" ref="D591:D654" si="463">A591&amp;","</f>
        <v xml:space="preserve">    "resultPage": 23,</v>
      </c>
    </row>
    <row r="592" spans="1:4" x14ac:dyDescent="0.55000000000000004">
      <c r="A592" t="s">
        <v>763</v>
      </c>
      <c r="B592" t="str">
        <f>VLOOKUP(B591,Tabelle3!$A$2:$E$33,3,FALSE)</f>
        <v>Behind You</v>
      </c>
      <c r="C592" t="s">
        <v>762</v>
      </c>
      <c r="D592" t="str">
        <f t="shared" ref="D592" si="464">_xlfn.CONCAT(A592:C592)</f>
        <v xml:space="preserve">    "message":  "Behind You",</v>
      </c>
    </row>
    <row r="593" spans="1:4" x14ac:dyDescent="0.55000000000000004">
      <c r="A593" t="s">
        <v>764</v>
      </c>
      <c r="B593" t="str">
        <f>VLOOKUP(B591,Tabelle3!$A$2:$E$33,5,FALSE)</f>
        <v/>
      </c>
      <c r="C593" t="s">
        <v>762</v>
      </c>
      <c r="D593" t="str">
        <f t="shared" si="429"/>
        <v xml:space="preserve">    "nextInstruction":  "",</v>
      </c>
    </row>
    <row r="594" spans="1:4" x14ac:dyDescent="0.55000000000000004">
      <c r="A594" t="s">
        <v>765</v>
      </c>
      <c r="B594" t="str">
        <f>VLOOKUP(B591,Tabelle3!$A$2:$E$33,4,FALSE)</f>
        <v>""</v>
      </c>
      <c r="D594" t="str">
        <f t="shared" ref="D594:D657" si="465">IF(ISNUMBER(B594),(A594&amp;B594),"")</f>
        <v/>
      </c>
    </row>
    <row r="595" spans="1:4" x14ac:dyDescent="0.55000000000000004">
      <c r="A595" t="s">
        <v>6</v>
      </c>
      <c r="D595" t="str">
        <f t="shared" ref="D595:D658" si="466">A595</f>
        <v xml:space="preserve">  },</v>
      </c>
    </row>
    <row r="596" spans="1:4" x14ac:dyDescent="0.55000000000000004">
      <c r="A596" t="s">
        <v>97</v>
      </c>
      <c r="D596" t="str">
        <f t="shared" si="466"/>
        <v xml:space="preserve">  "8-16": {</v>
      </c>
    </row>
    <row r="597" spans="1:4" x14ac:dyDescent="0.55000000000000004">
      <c r="A597" t="s">
        <v>98</v>
      </c>
      <c r="B597">
        <f t="shared" ref="B597" si="467">_xlfn.NUMBERVALUE(RIGHT(A597,2))</f>
        <v>61</v>
      </c>
      <c r="D597" t="str">
        <f t="shared" ref="D597:D660" si="468">A597&amp;","</f>
        <v xml:space="preserve">    "resultPage": 61,</v>
      </c>
    </row>
    <row r="598" spans="1:4" x14ac:dyDescent="0.55000000000000004">
      <c r="A598" t="s">
        <v>763</v>
      </c>
      <c r="B598" t="str">
        <f>VLOOKUP(B597,Tabelle3!$A$2:$E$33,3,FALSE)</f>
        <v>Extended Range Dodging</v>
      </c>
      <c r="C598" t="s">
        <v>762</v>
      </c>
      <c r="D598" t="str">
        <f t="shared" ref="D598" si="469">_xlfn.CONCAT(A598:C598)</f>
        <v xml:space="preserve">    "message":  "Extended Range Dodging",</v>
      </c>
    </row>
    <row r="599" spans="1:4" x14ac:dyDescent="0.55000000000000004">
      <c r="A599" t="s">
        <v>764</v>
      </c>
      <c r="B599" t="str">
        <f>VLOOKUP(B597,Tabelle3!$A$2:$E$33,5,FALSE)</f>
        <v>Only Extended Range</v>
      </c>
      <c r="C599" t="s">
        <v>762</v>
      </c>
      <c r="D599" t="str">
        <f t="shared" si="429"/>
        <v xml:space="preserve">    "nextInstruction":  "Only Extended Range",</v>
      </c>
    </row>
    <row r="600" spans="1:4" x14ac:dyDescent="0.55000000000000004">
      <c r="A600" t="s">
        <v>765</v>
      </c>
      <c r="B600" t="str">
        <f>VLOOKUP(B597,Tabelle3!$A$2:$E$33,4,FALSE)</f>
        <v>""</v>
      </c>
      <c r="D600" t="str">
        <f t="shared" ref="D600:D663" si="470">IF(ISNUMBER(B600),(A600&amp;B600),"")</f>
        <v/>
      </c>
    </row>
    <row r="601" spans="1:4" x14ac:dyDescent="0.55000000000000004">
      <c r="A601" t="s">
        <v>6</v>
      </c>
      <c r="D601" t="str">
        <f t="shared" ref="D601:D664" si="471">A601</f>
        <v xml:space="preserve">  },</v>
      </c>
    </row>
    <row r="602" spans="1:4" x14ac:dyDescent="0.55000000000000004">
      <c r="A602" t="s">
        <v>99</v>
      </c>
      <c r="D602" t="str">
        <f t="shared" si="471"/>
        <v xml:space="preserve">  "8-18": {</v>
      </c>
    </row>
    <row r="603" spans="1:4" x14ac:dyDescent="0.55000000000000004">
      <c r="A603" t="s">
        <v>90</v>
      </c>
      <c r="B603">
        <f t="shared" ref="B603" si="472">_xlfn.NUMBERVALUE(RIGHT(A603,2))</f>
        <v>33</v>
      </c>
      <c r="D603" t="str">
        <f t="shared" ref="D603:D666" si="473">A603&amp;","</f>
        <v xml:space="preserve">    "resultPage": 33,</v>
      </c>
    </row>
    <row r="604" spans="1:4" x14ac:dyDescent="0.55000000000000004">
      <c r="A604" t="s">
        <v>763</v>
      </c>
      <c r="B604" t="str">
        <f>VLOOKUP(B603,Tabelle3!$A$2:$E$33,3,FALSE)</f>
        <v>Dodging</v>
      </c>
      <c r="C604" t="s">
        <v>762</v>
      </c>
      <c r="D604" t="str">
        <f t="shared" ref="D604" si="474">_xlfn.CONCAT(A604:C604)</f>
        <v xml:space="preserve">    "message":  "Dodging",</v>
      </c>
    </row>
    <row r="605" spans="1:4" x14ac:dyDescent="0.55000000000000004">
      <c r="A605" t="s">
        <v>764</v>
      </c>
      <c r="B605" t="str">
        <f>VLOOKUP(B603,Tabelle3!$A$2:$E$33,5,FALSE)</f>
        <v>Add + 2 to any DownSwing Add + 2 to any SideSwing</v>
      </c>
      <c r="C605" t="s">
        <v>762</v>
      </c>
      <c r="D605" t="str">
        <f t="shared" si="429"/>
        <v xml:space="preserve">    "nextInstruction":  "Add + 2 to any DownSwing Add + 2 to any SideSwing",</v>
      </c>
    </row>
    <row r="606" spans="1:4" x14ac:dyDescent="0.55000000000000004">
      <c r="A606" t="s">
        <v>765</v>
      </c>
      <c r="B606" t="str">
        <f>VLOOKUP(B603,Tabelle3!$A$2:$E$33,4,FALSE)</f>
        <v>""</v>
      </c>
      <c r="D606" t="str">
        <f t="shared" ref="D606:D669" si="475">IF(ISNUMBER(B606),(A606&amp;B606),"")</f>
        <v/>
      </c>
    </row>
    <row r="607" spans="1:4" x14ac:dyDescent="0.55000000000000004">
      <c r="A607" t="s">
        <v>6</v>
      </c>
      <c r="D607" t="str">
        <f t="shared" ref="D607:D670" si="476">A607</f>
        <v xml:space="preserve">  },</v>
      </c>
    </row>
    <row r="608" spans="1:4" x14ac:dyDescent="0.55000000000000004">
      <c r="A608" t="s">
        <v>100</v>
      </c>
      <c r="D608" t="str">
        <f t="shared" si="476"/>
        <v xml:space="preserve">  "8-20": {</v>
      </c>
    </row>
    <row r="609" spans="1:4" x14ac:dyDescent="0.55000000000000004">
      <c r="A609" t="s">
        <v>90</v>
      </c>
      <c r="B609">
        <f t="shared" ref="B609" si="477">_xlfn.NUMBERVALUE(RIGHT(A609,2))</f>
        <v>33</v>
      </c>
      <c r="D609" t="str">
        <f t="shared" ref="D609:D672" si="478">A609&amp;","</f>
        <v xml:space="preserve">    "resultPage": 33,</v>
      </c>
    </row>
    <row r="610" spans="1:4" x14ac:dyDescent="0.55000000000000004">
      <c r="A610" t="s">
        <v>763</v>
      </c>
      <c r="B610" t="str">
        <f>VLOOKUP(B609,Tabelle3!$A$2:$E$33,3,FALSE)</f>
        <v>Dodging</v>
      </c>
      <c r="C610" t="s">
        <v>762</v>
      </c>
      <c r="D610" t="str">
        <f t="shared" ref="D610" si="479">_xlfn.CONCAT(A610:C610)</f>
        <v xml:space="preserve">    "message":  "Dodging",</v>
      </c>
    </row>
    <row r="611" spans="1:4" x14ac:dyDescent="0.55000000000000004">
      <c r="A611" t="s">
        <v>764</v>
      </c>
      <c r="B611" t="str">
        <f>VLOOKUP(B609,Tabelle3!$A$2:$E$33,5,FALSE)</f>
        <v>Add + 2 to any DownSwing Add + 2 to any SideSwing</v>
      </c>
      <c r="C611" t="s">
        <v>762</v>
      </c>
      <c r="D611" t="str">
        <f t="shared" si="429"/>
        <v xml:space="preserve">    "nextInstruction":  "Add + 2 to any DownSwing Add + 2 to any SideSwing",</v>
      </c>
    </row>
    <row r="612" spans="1:4" x14ac:dyDescent="0.55000000000000004">
      <c r="A612" t="s">
        <v>765</v>
      </c>
      <c r="B612" t="str">
        <f>VLOOKUP(B609,Tabelle3!$A$2:$E$33,4,FALSE)</f>
        <v>""</v>
      </c>
      <c r="D612" t="str">
        <f t="shared" ref="D612:D675" si="480">IF(ISNUMBER(B612),(A612&amp;B612),"")</f>
        <v/>
      </c>
    </row>
    <row r="613" spans="1:4" x14ac:dyDescent="0.55000000000000004">
      <c r="A613" t="s">
        <v>6</v>
      </c>
      <c r="D613" t="str">
        <f t="shared" ref="D613:D676" si="481">A613</f>
        <v xml:space="preserve">  },</v>
      </c>
    </row>
    <row r="614" spans="1:4" x14ac:dyDescent="0.55000000000000004">
      <c r="A614" t="s">
        <v>101</v>
      </c>
      <c r="D614" t="str">
        <f t="shared" si="481"/>
        <v xml:space="preserve">  "8-22": {</v>
      </c>
    </row>
    <row r="615" spans="1:4" x14ac:dyDescent="0.55000000000000004">
      <c r="A615" t="s">
        <v>96</v>
      </c>
      <c r="B615">
        <f t="shared" ref="B615" si="482">_xlfn.NUMBERVALUE(RIGHT(A615,2))</f>
        <v>23</v>
      </c>
      <c r="D615" t="str">
        <f t="shared" ref="D615:D678" si="483">A615&amp;","</f>
        <v xml:space="preserve">    "resultPage": 23,</v>
      </c>
    </row>
    <row r="616" spans="1:4" x14ac:dyDescent="0.55000000000000004">
      <c r="A616" t="s">
        <v>763</v>
      </c>
      <c r="B616" t="str">
        <f>VLOOKUP(B615,Tabelle3!$A$2:$E$33,3,FALSE)</f>
        <v>Behind You</v>
      </c>
      <c r="C616" t="s">
        <v>762</v>
      </c>
      <c r="D616" t="str">
        <f t="shared" ref="D616:D677" si="484">_xlfn.CONCAT(A616:C616)</f>
        <v xml:space="preserve">    "message":  "Behind You",</v>
      </c>
    </row>
    <row r="617" spans="1:4" x14ac:dyDescent="0.55000000000000004">
      <c r="A617" t="s">
        <v>764</v>
      </c>
      <c r="B617" t="str">
        <f>VLOOKUP(B615,Tabelle3!$A$2:$E$33,5,FALSE)</f>
        <v/>
      </c>
      <c r="C617" t="s">
        <v>762</v>
      </c>
      <c r="D617" t="str">
        <f t="shared" si="484"/>
        <v xml:space="preserve">    "nextInstruction":  "",</v>
      </c>
    </row>
    <row r="618" spans="1:4" x14ac:dyDescent="0.55000000000000004">
      <c r="A618" t="s">
        <v>765</v>
      </c>
      <c r="B618" t="str">
        <f>VLOOKUP(B615,Tabelle3!$A$2:$E$33,4,FALSE)</f>
        <v>""</v>
      </c>
      <c r="D618" t="str">
        <f t="shared" ref="D618:D681" si="485">IF(ISNUMBER(B618),(A618&amp;B618),"")</f>
        <v/>
      </c>
    </row>
    <row r="619" spans="1:4" x14ac:dyDescent="0.55000000000000004">
      <c r="A619" t="s">
        <v>6</v>
      </c>
      <c r="D619" t="str">
        <f t="shared" ref="D619:D682" si="486">A619</f>
        <v xml:space="preserve">  },</v>
      </c>
    </row>
    <row r="620" spans="1:4" x14ac:dyDescent="0.55000000000000004">
      <c r="A620" t="s">
        <v>102</v>
      </c>
      <c r="D620" t="str">
        <f t="shared" si="486"/>
        <v xml:space="preserve">  "8-24": {</v>
      </c>
    </row>
    <row r="621" spans="1:4" x14ac:dyDescent="0.55000000000000004">
      <c r="A621" t="s">
        <v>90</v>
      </c>
      <c r="B621">
        <f t="shared" ref="B621" si="487">_xlfn.NUMBERVALUE(RIGHT(A621,2))</f>
        <v>33</v>
      </c>
      <c r="D621" t="str">
        <f t="shared" ref="D621:D684" si="488">A621&amp;","</f>
        <v xml:space="preserve">    "resultPage": 33,</v>
      </c>
    </row>
    <row r="622" spans="1:4" x14ac:dyDescent="0.55000000000000004">
      <c r="A622" t="s">
        <v>763</v>
      </c>
      <c r="B622" t="str">
        <f>VLOOKUP(B621,Tabelle3!$A$2:$E$33,3,FALSE)</f>
        <v>Dodging</v>
      </c>
      <c r="C622" t="s">
        <v>762</v>
      </c>
      <c r="D622" t="str">
        <f t="shared" ref="D622" si="489">_xlfn.CONCAT(A622:C622)</f>
        <v xml:space="preserve">    "message":  "Dodging",</v>
      </c>
    </row>
    <row r="623" spans="1:4" x14ac:dyDescent="0.55000000000000004">
      <c r="A623" t="s">
        <v>764</v>
      </c>
      <c r="B623" t="str">
        <f>VLOOKUP(B621,Tabelle3!$A$2:$E$33,5,FALSE)</f>
        <v>Add + 2 to any DownSwing Add + 2 to any SideSwing</v>
      </c>
      <c r="C623" t="s">
        <v>762</v>
      </c>
      <c r="D623" t="str">
        <f t="shared" si="484"/>
        <v xml:space="preserve">    "nextInstruction":  "Add + 2 to any DownSwing Add + 2 to any SideSwing",</v>
      </c>
    </row>
    <row r="624" spans="1:4" x14ac:dyDescent="0.55000000000000004">
      <c r="A624" t="s">
        <v>765</v>
      </c>
      <c r="B624" t="str">
        <f>VLOOKUP(B621,Tabelle3!$A$2:$E$33,4,FALSE)</f>
        <v>""</v>
      </c>
      <c r="D624" t="str">
        <f t="shared" ref="D624:D687" si="490">IF(ISNUMBER(B624),(A624&amp;B624),"")</f>
        <v/>
      </c>
    </row>
    <row r="625" spans="1:4" x14ac:dyDescent="0.55000000000000004">
      <c r="A625" t="s">
        <v>6</v>
      </c>
      <c r="D625" t="str">
        <f t="shared" ref="D625:D688" si="491">A625</f>
        <v xml:space="preserve">  },</v>
      </c>
    </row>
    <row r="626" spans="1:4" x14ac:dyDescent="0.55000000000000004">
      <c r="A626" t="s">
        <v>103</v>
      </c>
      <c r="D626" t="str">
        <f t="shared" si="491"/>
        <v xml:space="preserve">  "8-26": {</v>
      </c>
    </row>
    <row r="627" spans="1:4" x14ac:dyDescent="0.55000000000000004">
      <c r="A627" t="s">
        <v>90</v>
      </c>
      <c r="B627">
        <f t="shared" ref="B627" si="492">_xlfn.NUMBERVALUE(RIGHT(A627,2))</f>
        <v>33</v>
      </c>
      <c r="D627" t="str">
        <f t="shared" ref="D627:D690" si="493">A627&amp;","</f>
        <v xml:space="preserve">    "resultPage": 33,</v>
      </c>
    </row>
    <row r="628" spans="1:4" x14ac:dyDescent="0.55000000000000004">
      <c r="A628" t="s">
        <v>763</v>
      </c>
      <c r="B628" t="str">
        <f>VLOOKUP(B627,Tabelle3!$A$2:$E$33,3,FALSE)</f>
        <v>Dodging</v>
      </c>
      <c r="C628" t="s">
        <v>762</v>
      </c>
      <c r="D628" t="str">
        <f t="shared" ref="D628" si="494">_xlfn.CONCAT(A628:C628)</f>
        <v xml:space="preserve">    "message":  "Dodging",</v>
      </c>
    </row>
    <row r="629" spans="1:4" x14ac:dyDescent="0.55000000000000004">
      <c r="A629" t="s">
        <v>764</v>
      </c>
      <c r="B629" t="str">
        <f>VLOOKUP(B627,Tabelle3!$A$2:$E$33,5,FALSE)</f>
        <v>Add + 2 to any DownSwing Add + 2 to any SideSwing</v>
      </c>
      <c r="C629" t="s">
        <v>762</v>
      </c>
      <c r="D629" t="str">
        <f t="shared" si="484"/>
        <v xml:space="preserve">    "nextInstruction":  "Add + 2 to any DownSwing Add + 2 to any SideSwing",</v>
      </c>
    </row>
    <row r="630" spans="1:4" x14ac:dyDescent="0.55000000000000004">
      <c r="A630" t="s">
        <v>765</v>
      </c>
      <c r="B630" t="str">
        <f>VLOOKUP(B627,Tabelle3!$A$2:$E$33,4,FALSE)</f>
        <v>""</v>
      </c>
      <c r="D630" t="str">
        <f t="shared" ref="D630:D693" si="495">IF(ISNUMBER(B630),(A630&amp;B630),"")</f>
        <v/>
      </c>
    </row>
    <row r="631" spans="1:4" x14ac:dyDescent="0.55000000000000004">
      <c r="A631" t="s">
        <v>6</v>
      </c>
      <c r="D631" t="str">
        <f t="shared" ref="D631:D694" si="496">A631</f>
        <v xml:space="preserve">  },</v>
      </c>
    </row>
    <row r="632" spans="1:4" x14ac:dyDescent="0.55000000000000004">
      <c r="A632" t="s">
        <v>104</v>
      </c>
      <c r="D632" t="str">
        <f t="shared" si="496"/>
        <v xml:space="preserve">  "8-28": {</v>
      </c>
    </row>
    <row r="633" spans="1:4" x14ac:dyDescent="0.55000000000000004">
      <c r="A633" t="s">
        <v>58</v>
      </c>
      <c r="B633">
        <f t="shared" ref="B633" si="497">_xlfn.NUMBERVALUE(RIGHT(A633,2))</f>
        <v>19</v>
      </c>
      <c r="D633" t="str">
        <f t="shared" ref="D633:D696" si="498">A633&amp;","</f>
        <v xml:space="preserve">    "resultPage": 19,</v>
      </c>
    </row>
    <row r="634" spans="1:4" x14ac:dyDescent="0.55000000000000004">
      <c r="A634" t="s">
        <v>763</v>
      </c>
      <c r="B634" t="str">
        <f>VLOOKUP(B633,Tabelle3!$A$2:$E$33,3,FALSE)</f>
        <v>Struck off Balance</v>
      </c>
      <c r="C634" t="s">
        <v>762</v>
      </c>
      <c r="D634" t="str">
        <f t="shared" ref="D634" si="499">_xlfn.CONCAT(A634:C634)</f>
        <v xml:space="preserve">    "message":  "Struck off Balance",</v>
      </c>
    </row>
    <row r="635" spans="1:4" x14ac:dyDescent="0.55000000000000004">
      <c r="A635" t="s">
        <v>764</v>
      </c>
      <c r="B635" t="str">
        <f>VLOOKUP(B633,Tabelle3!$A$2:$E$33,5,FALSE)</f>
        <v>Only Green Only Yellow</v>
      </c>
      <c r="C635" t="s">
        <v>762</v>
      </c>
      <c r="D635" t="str">
        <f t="shared" si="484"/>
        <v xml:space="preserve">    "nextInstruction":  "Only Green Only Yellow",</v>
      </c>
    </row>
    <row r="636" spans="1:4" x14ac:dyDescent="0.55000000000000004">
      <c r="A636" t="s">
        <v>765</v>
      </c>
      <c r="B636">
        <f>VLOOKUP(B633,Tabelle3!$A$2:$E$33,4,FALSE)</f>
        <v>0</v>
      </c>
      <c r="D636" t="str">
        <f t="shared" ref="D636:D699" si="500">IF(ISNUMBER(B636),(A636&amp;B636),"")</f>
        <v xml:space="preserve">    "damageModifier": 0</v>
      </c>
    </row>
    <row r="637" spans="1:4" x14ac:dyDescent="0.55000000000000004">
      <c r="A637" t="s">
        <v>6</v>
      </c>
      <c r="D637" t="str">
        <f t="shared" ref="D637:D700" si="501">A637</f>
        <v xml:space="preserve">  },</v>
      </c>
    </row>
    <row r="638" spans="1:4" x14ac:dyDescent="0.55000000000000004">
      <c r="A638" t="s">
        <v>105</v>
      </c>
      <c r="D638" t="str">
        <f t="shared" si="501"/>
        <v xml:space="preserve">  "8-30": {</v>
      </c>
    </row>
    <row r="639" spans="1:4" x14ac:dyDescent="0.55000000000000004">
      <c r="A639" t="s">
        <v>90</v>
      </c>
      <c r="B639">
        <f t="shared" ref="B639" si="502">_xlfn.NUMBERVALUE(RIGHT(A639,2))</f>
        <v>33</v>
      </c>
      <c r="D639" t="str">
        <f t="shared" ref="D639:D702" si="503">A639&amp;","</f>
        <v xml:space="preserve">    "resultPage": 33,</v>
      </c>
    </row>
    <row r="640" spans="1:4" x14ac:dyDescent="0.55000000000000004">
      <c r="A640" t="s">
        <v>763</v>
      </c>
      <c r="B640" t="str">
        <f>VLOOKUP(B639,Tabelle3!$A$2:$E$33,3,FALSE)</f>
        <v>Dodging</v>
      </c>
      <c r="C640" t="s">
        <v>762</v>
      </c>
      <c r="D640" t="str">
        <f t="shared" ref="D640" si="504">_xlfn.CONCAT(A640:C640)</f>
        <v xml:space="preserve">    "message":  "Dodging",</v>
      </c>
    </row>
    <row r="641" spans="1:4" x14ac:dyDescent="0.55000000000000004">
      <c r="A641" t="s">
        <v>764</v>
      </c>
      <c r="B641" t="str">
        <f>VLOOKUP(B639,Tabelle3!$A$2:$E$33,5,FALSE)</f>
        <v>Add + 2 to any DownSwing Add + 2 to any SideSwing</v>
      </c>
      <c r="C641" t="s">
        <v>762</v>
      </c>
      <c r="D641" t="str">
        <f t="shared" si="484"/>
        <v xml:space="preserve">    "nextInstruction":  "Add + 2 to any DownSwing Add + 2 to any SideSwing",</v>
      </c>
    </row>
    <row r="642" spans="1:4" x14ac:dyDescent="0.55000000000000004">
      <c r="A642" t="s">
        <v>765</v>
      </c>
      <c r="B642" t="str">
        <f>VLOOKUP(B639,Tabelle3!$A$2:$E$33,4,FALSE)</f>
        <v>""</v>
      </c>
      <c r="D642" t="str">
        <f t="shared" ref="D642:D705" si="505">IF(ISNUMBER(B642),(A642&amp;B642),"")</f>
        <v/>
      </c>
    </row>
    <row r="643" spans="1:4" x14ac:dyDescent="0.55000000000000004">
      <c r="A643" t="s">
        <v>6</v>
      </c>
      <c r="D643" t="str">
        <f t="shared" ref="D643:D706" si="506">A643</f>
        <v xml:space="preserve">  },</v>
      </c>
    </row>
    <row r="644" spans="1:4" x14ac:dyDescent="0.55000000000000004">
      <c r="A644" t="s">
        <v>106</v>
      </c>
      <c r="D644" t="str">
        <f t="shared" si="506"/>
        <v xml:space="preserve">  "8-32": {</v>
      </c>
    </row>
    <row r="645" spans="1:4" x14ac:dyDescent="0.55000000000000004">
      <c r="A645" t="s">
        <v>90</v>
      </c>
      <c r="B645">
        <f t="shared" ref="B645" si="507">_xlfn.NUMBERVALUE(RIGHT(A645,2))</f>
        <v>33</v>
      </c>
      <c r="D645" t="str">
        <f t="shared" ref="D645:D708" si="508">A645&amp;","</f>
        <v xml:space="preserve">    "resultPage": 33,</v>
      </c>
    </row>
    <row r="646" spans="1:4" x14ac:dyDescent="0.55000000000000004">
      <c r="A646" t="s">
        <v>763</v>
      </c>
      <c r="B646" t="str">
        <f>VLOOKUP(B645,Tabelle3!$A$2:$E$33,3,FALSE)</f>
        <v>Dodging</v>
      </c>
      <c r="C646" t="s">
        <v>762</v>
      </c>
      <c r="D646" t="str">
        <f t="shared" ref="D646" si="509">_xlfn.CONCAT(A646:C646)</f>
        <v xml:space="preserve">    "message":  "Dodging",</v>
      </c>
    </row>
    <row r="647" spans="1:4" x14ac:dyDescent="0.55000000000000004">
      <c r="A647" t="s">
        <v>764</v>
      </c>
      <c r="B647" t="str">
        <f>VLOOKUP(B645,Tabelle3!$A$2:$E$33,5,FALSE)</f>
        <v>Add + 2 to any DownSwing Add + 2 to any SideSwing</v>
      </c>
      <c r="C647" t="s">
        <v>762</v>
      </c>
      <c r="D647" t="str">
        <f t="shared" si="484"/>
        <v xml:space="preserve">    "nextInstruction":  "Add + 2 to any DownSwing Add + 2 to any SideSwing",</v>
      </c>
    </row>
    <row r="648" spans="1:4" x14ac:dyDescent="0.55000000000000004">
      <c r="A648" t="s">
        <v>765</v>
      </c>
      <c r="B648" t="str">
        <f>VLOOKUP(B645,Tabelle3!$A$2:$E$33,4,FALSE)</f>
        <v>""</v>
      </c>
      <c r="D648" t="str">
        <f t="shared" ref="D648:D711" si="510">IF(ISNUMBER(B648),(A648&amp;B648),"")</f>
        <v/>
      </c>
    </row>
    <row r="649" spans="1:4" x14ac:dyDescent="0.55000000000000004">
      <c r="A649" t="s">
        <v>6</v>
      </c>
      <c r="D649" t="str">
        <f t="shared" ref="D649:D712" si="511">A649</f>
        <v xml:space="preserve">  },</v>
      </c>
    </row>
    <row r="650" spans="1:4" x14ac:dyDescent="0.55000000000000004">
      <c r="A650" t="s">
        <v>107</v>
      </c>
      <c r="D650" t="str">
        <f t="shared" si="511"/>
        <v xml:space="preserve">  "8-34": {</v>
      </c>
    </row>
    <row r="651" spans="1:4" x14ac:dyDescent="0.55000000000000004">
      <c r="A651" t="s">
        <v>90</v>
      </c>
      <c r="B651">
        <f t="shared" ref="B651" si="512">_xlfn.NUMBERVALUE(RIGHT(A651,2))</f>
        <v>33</v>
      </c>
      <c r="D651" t="str">
        <f t="shared" ref="D651:D714" si="513">A651&amp;","</f>
        <v xml:space="preserve">    "resultPage": 33,</v>
      </c>
    </row>
    <row r="652" spans="1:4" x14ac:dyDescent="0.55000000000000004">
      <c r="A652" t="s">
        <v>763</v>
      </c>
      <c r="B652" t="str">
        <f>VLOOKUP(B651,Tabelle3!$A$2:$E$33,3,FALSE)</f>
        <v>Dodging</v>
      </c>
      <c r="C652" t="s">
        <v>762</v>
      </c>
      <c r="D652" t="str">
        <f t="shared" ref="D652" si="514">_xlfn.CONCAT(A652:C652)</f>
        <v xml:space="preserve">    "message":  "Dodging",</v>
      </c>
    </row>
    <row r="653" spans="1:4" x14ac:dyDescent="0.55000000000000004">
      <c r="A653" t="s">
        <v>764</v>
      </c>
      <c r="B653" t="str">
        <f>VLOOKUP(B651,Tabelle3!$A$2:$E$33,5,FALSE)</f>
        <v>Add + 2 to any DownSwing Add + 2 to any SideSwing</v>
      </c>
      <c r="C653" t="s">
        <v>762</v>
      </c>
      <c r="D653" t="str">
        <f t="shared" si="484"/>
        <v xml:space="preserve">    "nextInstruction":  "Add + 2 to any DownSwing Add + 2 to any SideSwing",</v>
      </c>
    </row>
    <row r="654" spans="1:4" x14ac:dyDescent="0.55000000000000004">
      <c r="A654" t="s">
        <v>765</v>
      </c>
      <c r="B654" t="str">
        <f>VLOOKUP(B651,Tabelle3!$A$2:$E$33,4,FALSE)</f>
        <v>""</v>
      </c>
      <c r="D654" t="str">
        <f t="shared" ref="D654:D717" si="515">IF(ISNUMBER(B654),(A654&amp;B654),"")</f>
        <v/>
      </c>
    </row>
    <row r="655" spans="1:4" x14ac:dyDescent="0.55000000000000004">
      <c r="A655" t="s">
        <v>6</v>
      </c>
      <c r="D655" t="str">
        <f t="shared" ref="D655:D718" si="516">A655</f>
        <v xml:space="preserve">  },</v>
      </c>
    </row>
    <row r="656" spans="1:4" x14ac:dyDescent="0.55000000000000004">
      <c r="A656" t="s">
        <v>108</v>
      </c>
      <c r="D656" t="str">
        <f t="shared" si="516"/>
        <v xml:space="preserve">  "8-36": {</v>
      </c>
    </row>
    <row r="657" spans="1:4" x14ac:dyDescent="0.55000000000000004">
      <c r="A657" t="s">
        <v>90</v>
      </c>
      <c r="B657">
        <f t="shared" ref="B657" si="517">_xlfn.NUMBERVALUE(RIGHT(A657,2))</f>
        <v>33</v>
      </c>
      <c r="D657" t="str">
        <f t="shared" ref="D657:D720" si="518">A657&amp;","</f>
        <v xml:space="preserve">    "resultPage": 33,</v>
      </c>
    </row>
    <row r="658" spans="1:4" x14ac:dyDescent="0.55000000000000004">
      <c r="A658" t="s">
        <v>763</v>
      </c>
      <c r="B658" t="str">
        <f>VLOOKUP(B657,Tabelle3!$A$2:$E$33,3,FALSE)</f>
        <v>Dodging</v>
      </c>
      <c r="C658" t="s">
        <v>762</v>
      </c>
      <c r="D658" t="str">
        <f t="shared" ref="D658" si="519">_xlfn.CONCAT(A658:C658)</f>
        <v xml:space="preserve">    "message":  "Dodging",</v>
      </c>
    </row>
    <row r="659" spans="1:4" x14ac:dyDescent="0.55000000000000004">
      <c r="A659" t="s">
        <v>764</v>
      </c>
      <c r="B659" t="str">
        <f>VLOOKUP(B657,Tabelle3!$A$2:$E$33,5,FALSE)</f>
        <v>Add + 2 to any DownSwing Add + 2 to any SideSwing</v>
      </c>
      <c r="C659" t="s">
        <v>762</v>
      </c>
      <c r="D659" t="str">
        <f t="shared" si="484"/>
        <v xml:space="preserve">    "nextInstruction":  "Add + 2 to any DownSwing Add + 2 to any SideSwing",</v>
      </c>
    </row>
    <row r="660" spans="1:4" x14ac:dyDescent="0.55000000000000004">
      <c r="A660" t="s">
        <v>765</v>
      </c>
      <c r="B660" t="str">
        <f>VLOOKUP(B657,Tabelle3!$A$2:$E$33,4,FALSE)</f>
        <v>""</v>
      </c>
      <c r="D660" t="str">
        <f t="shared" ref="D660:D723" si="520">IF(ISNUMBER(B660),(A660&amp;B660),"")</f>
        <v/>
      </c>
    </row>
    <row r="661" spans="1:4" x14ac:dyDescent="0.55000000000000004">
      <c r="A661" t="s">
        <v>6</v>
      </c>
      <c r="D661" t="str">
        <f t="shared" ref="D661:D724" si="521">A661</f>
        <v xml:space="preserve">  },</v>
      </c>
    </row>
    <row r="662" spans="1:4" x14ac:dyDescent="0.55000000000000004">
      <c r="A662" t="s">
        <v>109</v>
      </c>
      <c r="D662" t="str">
        <f t="shared" si="521"/>
        <v xml:space="preserve">  "8-38": {</v>
      </c>
    </row>
    <row r="663" spans="1:4" x14ac:dyDescent="0.55000000000000004">
      <c r="A663" t="s">
        <v>58</v>
      </c>
      <c r="B663">
        <f t="shared" ref="B663" si="522">_xlfn.NUMBERVALUE(RIGHT(A663,2))</f>
        <v>19</v>
      </c>
      <c r="D663" t="str">
        <f t="shared" ref="D663:D726" si="523">A663&amp;","</f>
        <v xml:space="preserve">    "resultPage": 19,</v>
      </c>
    </row>
    <row r="664" spans="1:4" x14ac:dyDescent="0.55000000000000004">
      <c r="A664" t="s">
        <v>763</v>
      </c>
      <c r="B664" t="str">
        <f>VLOOKUP(B663,Tabelle3!$A$2:$E$33,3,FALSE)</f>
        <v>Struck off Balance</v>
      </c>
      <c r="C664" t="s">
        <v>762</v>
      </c>
      <c r="D664" t="str">
        <f t="shared" ref="D664" si="524">_xlfn.CONCAT(A664:C664)</f>
        <v xml:space="preserve">    "message":  "Struck off Balance",</v>
      </c>
    </row>
    <row r="665" spans="1:4" x14ac:dyDescent="0.55000000000000004">
      <c r="A665" t="s">
        <v>764</v>
      </c>
      <c r="B665" t="str">
        <f>VLOOKUP(B663,Tabelle3!$A$2:$E$33,5,FALSE)</f>
        <v>Only Green Only Yellow</v>
      </c>
      <c r="C665" t="s">
        <v>762</v>
      </c>
      <c r="D665" t="str">
        <f t="shared" si="484"/>
        <v xml:space="preserve">    "nextInstruction":  "Only Green Only Yellow",</v>
      </c>
    </row>
    <row r="666" spans="1:4" x14ac:dyDescent="0.55000000000000004">
      <c r="A666" t="s">
        <v>765</v>
      </c>
      <c r="B666">
        <f>VLOOKUP(B663,Tabelle3!$A$2:$E$33,4,FALSE)</f>
        <v>0</v>
      </c>
      <c r="D666" t="str">
        <f t="shared" ref="D666:D729" si="525">IF(ISNUMBER(B666),(A666&amp;B666),"")</f>
        <v xml:space="preserve">    "damageModifier": 0</v>
      </c>
    </row>
    <row r="667" spans="1:4" x14ac:dyDescent="0.55000000000000004">
      <c r="A667" t="s">
        <v>6</v>
      </c>
      <c r="D667" t="str">
        <f t="shared" ref="D667:D730" si="526">A667</f>
        <v xml:space="preserve">  },</v>
      </c>
    </row>
    <row r="668" spans="1:4" x14ac:dyDescent="0.55000000000000004">
      <c r="A668" t="s">
        <v>110</v>
      </c>
      <c r="D668" t="str">
        <f t="shared" si="526"/>
        <v xml:space="preserve">  "8-40": {</v>
      </c>
    </row>
    <row r="669" spans="1:4" x14ac:dyDescent="0.55000000000000004">
      <c r="A669" t="s">
        <v>90</v>
      </c>
      <c r="B669">
        <f t="shared" ref="B669" si="527">_xlfn.NUMBERVALUE(RIGHT(A669,2))</f>
        <v>33</v>
      </c>
      <c r="D669" t="str">
        <f t="shared" ref="D669:D732" si="528">A669&amp;","</f>
        <v xml:space="preserve">    "resultPage": 33,</v>
      </c>
    </row>
    <row r="670" spans="1:4" x14ac:dyDescent="0.55000000000000004">
      <c r="A670" t="s">
        <v>763</v>
      </c>
      <c r="B670" t="str">
        <f>VLOOKUP(B669,Tabelle3!$A$2:$E$33,3,FALSE)</f>
        <v>Dodging</v>
      </c>
      <c r="C670" t="s">
        <v>762</v>
      </c>
      <c r="D670" t="str">
        <f t="shared" ref="D670" si="529">_xlfn.CONCAT(A670:C670)</f>
        <v xml:space="preserve">    "message":  "Dodging",</v>
      </c>
    </row>
    <row r="671" spans="1:4" x14ac:dyDescent="0.55000000000000004">
      <c r="A671" t="s">
        <v>764</v>
      </c>
      <c r="B671" t="str">
        <f>VLOOKUP(B669,Tabelle3!$A$2:$E$33,5,FALSE)</f>
        <v>Add + 2 to any DownSwing Add + 2 to any SideSwing</v>
      </c>
      <c r="C671" t="s">
        <v>762</v>
      </c>
      <c r="D671" t="str">
        <f t="shared" si="484"/>
        <v xml:space="preserve">    "nextInstruction":  "Add + 2 to any DownSwing Add + 2 to any SideSwing",</v>
      </c>
    </row>
    <row r="672" spans="1:4" x14ac:dyDescent="0.55000000000000004">
      <c r="A672" t="s">
        <v>765</v>
      </c>
      <c r="B672" t="str">
        <f>VLOOKUP(B669,Tabelle3!$A$2:$E$33,4,FALSE)</f>
        <v>""</v>
      </c>
      <c r="D672" t="str">
        <f t="shared" ref="D672:D735" si="530">IF(ISNUMBER(B672),(A672&amp;B672),"")</f>
        <v/>
      </c>
    </row>
    <row r="673" spans="1:4" x14ac:dyDescent="0.55000000000000004">
      <c r="A673" t="s">
        <v>6</v>
      </c>
      <c r="D673" t="str">
        <f t="shared" ref="D673:D736" si="531">A673</f>
        <v xml:space="preserve">  },</v>
      </c>
    </row>
    <row r="674" spans="1:4" x14ac:dyDescent="0.55000000000000004">
      <c r="A674" t="s">
        <v>111</v>
      </c>
      <c r="D674" t="str">
        <f t="shared" si="531"/>
        <v xml:space="preserve">  "8-42": {</v>
      </c>
    </row>
    <row r="675" spans="1:4" x14ac:dyDescent="0.55000000000000004">
      <c r="A675" t="s">
        <v>58</v>
      </c>
      <c r="B675">
        <f t="shared" ref="B675" si="532">_xlfn.NUMBERVALUE(RIGHT(A675,2))</f>
        <v>19</v>
      </c>
      <c r="D675" t="str">
        <f t="shared" ref="D675:D738" si="533">A675&amp;","</f>
        <v xml:space="preserve">    "resultPage": 19,</v>
      </c>
    </row>
    <row r="676" spans="1:4" x14ac:dyDescent="0.55000000000000004">
      <c r="A676" t="s">
        <v>763</v>
      </c>
      <c r="B676" t="str">
        <f>VLOOKUP(B675,Tabelle3!$A$2:$E$33,3,FALSE)</f>
        <v>Struck off Balance</v>
      </c>
      <c r="C676" t="s">
        <v>762</v>
      </c>
      <c r="D676" t="str">
        <f t="shared" ref="D676" si="534">_xlfn.CONCAT(A676:C676)</f>
        <v xml:space="preserve">    "message":  "Struck off Balance",</v>
      </c>
    </row>
    <row r="677" spans="1:4" x14ac:dyDescent="0.55000000000000004">
      <c r="A677" t="s">
        <v>764</v>
      </c>
      <c r="B677" t="str">
        <f>VLOOKUP(B675,Tabelle3!$A$2:$E$33,5,FALSE)</f>
        <v>Only Green Only Yellow</v>
      </c>
      <c r="C677" t="s">
        <v>762</v>
      </c>
      <c r="D677" t="str">
        <f t="shared" si="484"/>
        <v xml:space="preserve">    "nextInstruction":  "Only Green Only Yellow",</v>
      </c>
    </row>
    <row r="678" spans="1:4" x14ac:dyDescent="0.55000000000000004">
      <c r="A678" t="s">
        <v>765</v>
      </c>
      <c r="B678">
        <f>VLOOKUP(B675,Tabelle3!$A$2:$E$33,4,FALSE)</f>
        <v>0</v>
      </c>
      <c r="D678" t="str">
        <f t="shared" ref="D678:D741" si="535">IF(ISNUMBER(B678),(A678&amp;B678),"")</f>
        <v xml:space="preserve">    "damageModifier": 0</v>
      </c>
    </row>
    <row r="679" spans="1:4" x14ac:dyDescent="0.55000000000000004">
      <c r="A679" t="s">
        <v>6</v>
      </c>
      <c r="D679" t="str">
        <f t="shared" ref="D679:D742" si="536">A679</f>
        <v xml:space="preserve">  },</v>
      </c>
    </row>
    <row r="680" spans="1:4" x14ac:dyDescent="0.55000000000000004">
      <c r="A680" t="s">
        <v>112</v>
      </c>
      <c r="D680" t="str">
        <f t="shared" si="536"/>
        <v xml:space="preserve">  "8-44": {</v>
      </c>
    </row>
    <row r="681" spans="1:4" x14ac:dyDescent="0.55000000000000004">
      <c r="A681" t="s">
        <v>90</v>
      </c>
      <c r="B681">
        <f t="shared" ref="B681" si="537">_xlfn.NUMBERVALUE(RIGHT(A681,2))</f>
        <v>33</v>
      </c>
      <c r="D681" t="str">
        <f t="shared" ref="D681:D744" si="538">A681&amp;","</f>
        <v xml:space="preserve">    "resultPage": 33,</v>
      </c>
    </row>
    <row r="682" spans="1:4" x14ac:dyDescent="0.55000000000000004">
      <c r="A682" t="s">
        <v>763</v>
      </c>
      <c r="B682" t="str">
        <f>VLOOKUP(B681,Tabelle3!$A$2:$E$33,3,FALSE)</f>
        <v>Dodging</v>
      </c>
      <c r="C682" t="s">
        <v>762</v>
      </c>
      <c r="D682" t="str">
        <f t="shared" ref="D682:D743" si="539">_xlfn.CONCAT(A682:C682)</f>
        <v xml:space="preserve">    "message":  "Dodging",</v>
      </c>
    </row>
    <row r="683" spans="1:4" x14ac:dyDescent="0.55000000000000004">
      <c r="A683" t="s">
        <v>764</v>
      </c>
      <c r="B683" t="str">
        <f>VLOOKUP(B681,Tabelle3!$A$2:$E$33,5,FALSE)</f>
        <v>Add + 2 to any DownSwing Add + 2 to any SideSwing</v>
      </c>
      <c r="C683" t="s">
        <v>762</v>
      </c>
      <c r="D683" t="str">
        <f t="shared" si="539"/>
        <v xml:space="preserve">    "nextInstruction":  "Add + 2 to any DownSwing Add + 2 to any SideSwing",</v>
      </c>
    </row>
    <row r="684" spans="1:4" x14ac:dyDescent="0.55000000000000004">
      <c r="A684" t="s">
        <v>765</v>
      </c>
      <c r="B684" t="str">
        <f>VLOOKUP(B681,Tabelle3!$A$2:$E$33,4,FALSE)</f>
        <v>""</v>
      </c>
      <c r="D684" t="str">
        <f t="shared" ref="D684:D747" si="540">IF(ISNUMBER(B684),(A684&amp;B684),"")</f>
        <v/>
      </c>
    </row>
    <row r="685" spans="1:4" x14ac:dyDescent="0.55000000000000004">
      <c r="A685" t="s">
        <v>6</v>
      </c>
      <c r="D685" t="str">
        <f t="shared" ref="D685:D748" si="541">A685</f>
        <v xml:space="preserve">  },</v>
      </c>
    </row>
    <row r="686" spans="1:4" x14ac:dyDescent="0.55000000000000004">
      <c r="A686" t="s">
        <v>113</v>
      </c>
      <c r="D686" t="str">
        <f t="shared" si="541"/>
        <v xml:space="preserve">  "8-46": {</v>
      </c>
    </row>
    <row r="687" spans="1:4" x14ac:dyDescent="0.55000000000000004">
      <c r="A687" t="s">
        <v>90</v>
      </c>
      <c r="B687">
        <f t="shared" ref="B687" si="542">_xlfn.NUMBERVALUE(RIGHT(A687,2))</f>
        <v>33</v>
      </c>
      <c r="D687" t="str">
        <f t="shared" ref="D687:D750" si="543">A687&amp;","</f>
        <v xml:space="preserve">    "resultPage": 33,</v>
      </c>
    </row>
    <row r="688" spans="1:4" x14ac:dyDescent="0.55000000000000004">
      <c r="A688" t="s">
        <v>763</v>
      </c>
      <c r="B688" t="str">
        <f>VLOOKUP(B687,Tabelle3!$A$2:$E$33,3,FALSE)</f>
        <v>Dodging</v>
      </c>
      <c r="C688" t="s">
        <v>762</v>
      </c>
      <c r="D688" t="str">
        <f t="shared" ref="D688" si="544">_xlfn.CONCAT(A688:C688)</f>
        <v xml:space="preserve">    "message":  "Dodging",</v>
      </c>
    </row>
    <row r="689" spans="1:4" x14ac:dyDescent="0.55000000000000004">
      <c r="A689" t="s">
        <v>764</v>
      </c>
      <c r="B689" t="str">
        <f>VLOOKUP(B687,Tabelle3!$A$2:$E$33,5,FALSE)</f>
        <v>Add + 2 to any DownSwing Add + 2 to any SideSwing</v>
      </c>
      <c r="C689" t="s">
        <v>762</v>
      </c>
      <c r="D689" t="str">
        <f t="shared" si="539"/>
        <v xml:space="preserve">    "nextInstruction":  "Add + 2 to any DownSwing Add + 2 to any SideSwing",</v>
      </c>
    </row>
    <row r="690" spans="1:4" x14ac:dyDescent="0.55000000000000004">
      <c r="A690" t="s">
        <v>765</v>
      </c>
      <c r="B690" t="str">
        <f>VLOOKUP(B687,Tabelle3!$A$2:$E$33,4,FALSE)</f>
        <v>""</v>
      </c>
      <c r="D690" t="str">
        <f t="shared" ref="D690:D753" si="545">IF(ISNUMBER(B690),(A690&amp;B690),"")</f>
        <v/>
      </c>
    </row>
    <row r="691" spans="1:4" x14ac:dyDescent="0.55000000000000004">
      <c r="A691" t="s">
        <v>6</v>
      </c>
      <c r="D691" t="str">
        <f t="shared" ref="D691:D754" si="546">A691</f>
        <v xml:space="preserve">  },</v>
      </c>
    </row>
    <row r="692" spans="1:4" x14ac:dyDescent="0.55000000000000004">
      <c r="A692" t="s">
        <v>114</v>
      </c>
      <c r="D692" t="str">
        <f t="shared" si="546"/>
        <v xml:space="preserve">  "8-48": {</v>
      </c>
    </row>
    <row r="693" spans="1:4" x14ac:dyDescent="0.55000000000000004">
      <c r="A693" t="s">
        <v>58</v>
      </c>
      <c r="B693">
        <f t="shared" ref="B693" si="547">_xlfn.NUMBERVALUE(RIGHT(A693,2))</f>
        <v>19</v>
      </c>
      <c r="D693" t="str">
        <f t="shared" ref="D693:D756" si="548">A693&amp;","</f>
        <v xml:space="preserve">    "resultPage": 19,</v>
      </c>
    </row>
    <row r="694" spans="1:4" x14ac:dyDescent="0.55000000000000004">
      <c r="A694" t="s">
        <v>763</v>
      </c>
      <c r="B694" t="str">
        <f>VLOOKUP(B693,Tabelle3!$A$2:$E$33,3,FALSE)</f>
        <v>Struck off Balance</v>
      </c>
      <c r="C694" t="s">
        <v>762</v>
      </c>
      <c r="D694" t="str">
        <f t="shared" ref="D694" si="549">_xlfn.CONCAT(A694:C694)</f>
        <v xml:space="preserve">    "message":  "Struck off Balance",</v>
      </c>
    </row>
    <row r="695" spans="1:4" x14ac:dyDescent="0.55000000000000004">
      <c r="A695" t="s">
        <v>764</v>
      </c>
      <c r="B695" t="str">
        <f>VLOOKUP(B693,Tabelle3!$A$2:$E$33,5,FALSE)</f>
        <v>Only Green Only Yellow</v>
      </c>
      <c r="C695" t="s">
        <v>762</v>
      </c>
      <c r="D695" t="str">
        <f t="shared" si="539"/>
        <v xml:space="preserve">    "nextInstruction":  "Only Green Only Yellow",</v>
      </c>
    </row>
    <row r="696" spans="1:4" x14ac:dyDescent="0.55000000000000004">
      <c r="A696" t="s">
        <v>765</v>
      </c>
      <c r="B696">
        <f>VLOOKUP(B693,Tabelle3!$A$2:$E$33,4,FALSE)</f>
        <v>0</v>
      </c>
      <c r="D696" t="str">
        <f t="shared" ref="D696:D759" si="550">IF(ISNUMBER(B696),(A696&amp;B696),"")</f>
        <v xml:space="preserve">    "damageModifier": 0</v>
      </c>
    </row>
    <row r="697" spans="1:4" x14ac:dyDescent="0.55000000000000004">
      <c r="A697" t="s">
        <v>6</v>
      </c>
      <c r="D697" t="str">
        <f t="shared" ref="D697:D760" si="551">A697</f>
        <v xml:space="preserve">  },</v>
      </c>
    </row>
    <row r="698" spans="1:4" x14ac:dyDescent="0.55000000000000004">
      <c r="A698" t="s">
        <v>115</v>
      </c>
      <c r="D698" t="str">
        <f t="shared" si="551"/>
        <v xml:space="preserve">  "10-4": {</v>
      </c>
    </row>
    <row r="699" spans="1:4" x14ac:dyDescent="0.55000000000000004">
      <c r="A699" t="s">
        <v>116</v>
      </c>
      <c r="B699">
        <f t="shared" ref="B699" si="552">_xlfn.NUMBERVALUE(RIGHT(A699,2))</f>
        <v>3</v>
      </c>
      <c r="D699" t="str">
        <f t="shared" ref="D699:D762" si="553">A699&amp;","</f>
        <v xml:space="preserve">    "resultPage": 3,</v>
      </c>
    </row>
    <row r="700" spans="1:4" x14ac:dyDescent="0.55000000000000004">
      <c r="A700" t="s">
        <v>763</v>
      </c>
      <c r="B700" t="str">
        <f>VLOOKUP(B699,Tabelle3!$A$2:$E$33,3,FALSE)</f>
        <v>Swinging High</v>
      </c>
      <c r="C700" t="s">
        <v>762</v>
      </c>
      <c r="D700" t="str">
        <f t="shared" ref="D700" si="554">_xlfn.CONCAT(A700:C700)</f>
        <v xml:space="preserve">    "message":  "Swinging High",</v>
      </c>
    </row>
    <row r="701" spans="1:4" x14ac:dyDescent="0.55000000000000004">
      <c r="A701" t="s">
        <v>764</v>
      </c>
      <c r="B701" t="str">
        <f>VLOOKUP(B699,Tabelle3!$A$2:$E$33,5,FALSE)</f>
        <v>No Red</v>
      </c>
      <c r="C701" t="s">
        <v>762</v>
      </c>
      <c r="D701" t="str">
        <f t="shared" si="539"/>
        <v xml:space="preserve">    "nextInstruction":  "No Red",</v>
      </c>
    </row>
    <row r="702" spans="1:4" x14ac:dyDescent="0.55000000000000004">
      <c r="A702" t="s">
        <v>765</v>
      </c>
      <c r="B702" t="str">
        <f>VLOOKUP(B699,Tabelle3!$A$2:$E$33,4,FALSE)</f>
        <v>""</v>
      </c>
      <c r="D702" t="str">
        <f t="shared" ref="D702:D765" si="555">IF(ISNUMBER(B702),(A702&amp;B702),"")</f>
        <v/>
      </c>
    </row>
    <row r="703" spans="1:4" x14ac:dyDescent="0.55000000000000004">
      <c r="A703" t="s">
        <v>6</v>
      </c>
      <c r="D703" t="str">
        <f t="shared" ref="D703:D766" si="556">A703</f>
        <v xml:space="preserve">  },</v>
      </c>
    </row>
    <row r="704" spans="1:4" x14ac:dyDescent="0.55000000000000004">
      <c r="A704" t="s">
        <v>117</v>
      </c>
      <c r="D704" t="str">
        <f t="shared" si="556"/>
        <v xml:space="preserve">  "10-6": {</v>
      </c>
    </row>
    <row r="705" spans="1:4" x14ac:dyDescent="0.55000000000000004">
      <c r="A705" t="s">
        <v>116</v>
      </c>
      <c r="B705">
        <f t="shared" ref="B705" si="557">_xlfn.NUMBERVALUE(RIGHT(A705,2))</f>
        <v>3</v>
      </c>
      <c r="D705" t="str">
        <f t="shared" ref="D705:D768" si="558">A705&amp;","</f>
        <v xml:space="preserve">    "resultPage": 3,</v>
      </c>
    </row>
    <row r="706" spans="1:4" x14ac:dyDescent="0.55000000000000004">
      <c r="A706" t="s">
        <v>763</v>
      </c>
      <c r="B706" t="str">
        <f>VLOOKUP(B705,Tabelle3!$A$2:$E$33,3,FALSE)</f>
        <v>Swinging High</v>
      </c>
      <c r="C706" t="s">
        <v>762</v>
      </c>
      <c r="D706" t="str">
        <f t="shared" ref="D706" si="559">_xlfn.CONCAT(A706:C706)</f>
        <v xml:space="preserve">    "message":  "Swinging High",</v>
      </c>
    </row>
    <row r="707" spans="1:4" x14ac:dyDescent="0.55000000000000004">
      <c r="A707" t="s">
        <v>764</v>
      </c>
      <c r="B707" t="str">
        <f>VLOOKUP(B705,Tabelle3!$A$2:$E$33,5,FALSE)</f>
        <v>No Red</v>
      </c>
      <c r="C707" t="s">
        <v>762</v>
      </c>
      <c r="D707" t="str">
        <f t="shared" si="539"/>
        <v xml:space="preserve">    "nextInstruction":  "No Red",</v>
      </c>
    </row>
    <row r="708" spans="1:4" x14ac:dyDescent="0.55000000000000004">
      <c r="A708" t="s">
        <v>765</v>
      </c>
      <c r="B708" t="str">
        <f>VLOOKUP(B705,Tabelle3!$A$2:$E$33,4,FALSE)</f>
        <v>""</v>
      </c>
      <c r="D708" t="str">
        <f t="shared" ref="D708:D771" si="560">IF(ISNUMBER(B708),(A708&amp;B708),"")</f>
        <v/>
      </c>
    </row>
    <row r="709" spans="1:4" x14ac:dyDescent="0.55000000000000004">
      <c r="A709" t="s">
        <v>6</v>
      </c>
      <c r="D709" t="str">
        <f t="shared" ref="D709:D772" si="561">A709</f>
        <v xml:space="preserve">  },</v>
      </c>
    </row>
    <row r="710" spans="1:4" x14ac:dyDescent="0.55000000000000004">
      <c r="A710" t="s">
        <v>118</v>
      </c>
      <c r="D710" t="str">
        <f t="shared" si="561"/>
        <v xml:space="preserve">  "10-8": {</v>
      </c>
    </row>
    <row r="711" spans="1:4" x14ac:dyDescent="0.55000000000000004">
      <c r="A711" t="s">
        <v>116</v>
      </c>
      <c r="B711">
        <f t="shared" ref="B711" si="562">_xlfn.NUMBERVALUE(RIGHT(A711,2))</f>
        <v>3</v>
      </c>
      <c r="D711" t="str">
        <f t="shared" ref="D711:D774" si="563">A711&amp;","</f>
        <v xml:space="preserve">    "resultPage": 3,</v>
      </c>
    </row>
    <row r="712" spans="1:4" x14ac:dyDescent="0.55000000000000004">
      <c r="A712" t="s">
        <v>763</v>
      </c>
      <c r="B712" t="str">
        <f>VLOOKUP(B711,Tabelle3!$A$2:$E$33,3,FALSE)</f>
        <v>Swinging High</v>
      </c>
      <c r="C712" t="s">
        <v>762</v>
      </c>
      <c r="D712" t="str">
        <f t="shared" ref="D712" si="564">_xlfn.CONCAT(A712:C712)</f>
        <v xml:space="preserve">    "message":  "Swinging High",</v>
      </c>
    </row>
    <row r="713" spans="1:4" x14ac:dyDescent="0.55000000000000004">
      <c r="A713" t="s">
        <v>764</v>
      </c>
      <c r="B713" t="str">
        <f>VLOOKUP(B711,Tabelle3!$A$2:$E$33,5,FALSE)</f>
        <v>No Red</v>
      </c>
      <c r="C713" t="s">
        <v>762</v>
      </c>
      <c r="D713" t="str">
        <f t="shared" si="539"/>
        <v xml:space="preserve">    "nextInstruction":  "No Red",</v>
      </c>
    </row>
    <row r="714" spans="1:4" x14ac:dyDescent="0.55000000000000004">
      <c r="A714" t="s">
        <v>765</v>
      </c>
      <c r="B714" t="str">
        <f>VLOOKUP(B711,Tabelle3!$A$2:$E$33,4,FALSE)</f>
        <v>""</v>
      </c>
      <c r="D714" t="str">
        <f t="shared" ref="D714:D777" si="565">IF(ISNUMBER(B714),(A714&amp;B714),"")</f>
        <v/>
      </c>
    </row>
    <row r="715" spans="1:4" x14ac:dyDescent="0.55000000000000004">
      <c r="A715" t="s">
        <v>6</v>
      </c>
      <c r="D715" t="str">
        <f t="shared" ref="D715:D778" si="566">A715</f>
        <v xml:space="preserve">  },</v>
      </c>
    </row>
    <row r="716" spans="1:4" x14ac:dyDescent="0.55000000000000004">
      <c r="A716" t="s">
        <v>119</v>
      </c>
      <c r="D716" t="str">
        <f t="shared" si="566"/>
        <v xml:space="preserve">  "10-10": {</v>
      </c>
    </row>
    <row r="717" spans="1:4" x14ac:dyDescent="0.55000000000000004">
      <c r="A717" t="s">
        <v>76</v>
      </c>
      <c r="B717">
        <f t="shared" ref="B717" si="567">_xlfn.NUMBERVALUE(RIGHT(A717,2))</f>
        <v>45</v>
      </c>
      <c r="D717" t="str">
        <f t="shared" ref="D717:D780" si="568">A717&amp;","</f>
        <v xml:space="preserve">    "resultPage": 45,</v>
      </c>
    </row>
    <row r="718" spans="1:4" x14ac:dyDescent="0.55000000000000004">
      <c r="A718" t="s">
        <v>763</v>
      </c>
      <c r="B718" t="str">
        <f>VLOOKUP(B717,Tabelle3!$A$2:$E$33,3,FALSE)</f>
        <v>Parrying High</v>
      </c>
      <c r="C718" t="s">
        <v>762</v>
      </c>
      <c r="D718" t="str">
        <f t="shared" ref="D718" si="569">_xlfn.CONCAT(A718:C718)</f>
        <v xml:space="preserve">    "message":  "Parrying High",</v>
      </c>
    </row>
    <row r="719" spans="1:4" x14ac:dyDescent="0.55000000000000004">
      <c r="A719" t="s">
        <v>764</v>
      </c>
      <c r="B719" t="str">
        <f>VLOOKUP(B717,Tabelle3!$A$2:$E$33,5,FALSE)</f>
        <v/>
      </c>
      <c r="C719" t="s">
        <v>762</v>
      </c>
      <c r="D719" t="str">
        <f t="shared" si="539"/>
        <v xml:space="preserve">    "nextInstruction":  "",</v>
      </c>
    </row>
    <row r="720" spans="1:4" x14ac:dyDescent="0.55000000000000004">
      <c r="A720" t="s">
        <v>765</v>
      </c>
      <c r="B720">
        <f>VLOOKUP(B717,Tabelle3!$A$2:$E$33,4,FALSE)</f>
        <v>-4</v>
      </c>
      <c r="D720" t="str">
        <f t="shared" ref="D720:D783" si="570">IF(ISNUMBER(B720),(A720&amp;B720),"")</f>
        <v xml:space="preserve">    "damageModifier": -4</v>
      </c>
    </row>
    <row r="721" spans="1:4" x14ac:dyDescent="0.55000000000000004">
      <c r="A721" t="s">
        <v>6</v>
      </c>
      <c r="D721" t="str">
        <f t="shared" ref="D721:D784" si="571">A721</f>
        <v xml:space="preserve">  },</v>
      </c>
    </row>
    <row r="722" spans="1:4" x14ac:dyDescent="0.55000000000000004">
      <c r="A722" t="s">
        <v>120</v>
      </c>
      <c r="D722" t="str">
        <f t="shared" si="571"/>
        <v xml:space="preserve">  "10-12": {</v>
      </c>
    </row>
    <row r="723" spans="1:4" x14ac:dyDescent="0.55000000000000004">
      <c r="A723" t="s">
        <v>20</v>
      </c>
      <c r="B723">
        <f t="shared" ref="B723" si="572">_xlfn.NUMBERVALUE(RIGHT(A723,2))</f>
        <v>53</v>
      </c>
      <c r="D723" t="str">
        <f t="shared" ref="D723:D786" si="573">A723&amp;","</f>
        <v xml:space="preserve">    "resultPage": 53,</v>
      </c>
    </row>
    <row r="724" spans="1:4" x14ac:dyDescent="0.55000000000000004">
      <c r="A724" t="s">
        <v>763</v>
      </c>
      <c r="B724" t="str">
        <f>VLOOKUP(B723,Tabelle3!$A$2:$E$33,3,FALSE)</f>
        <v>Body Wound</v>
      </c>
      <c r="C724" t="s">
        <v>762</v>
      </c>
      <c r="D724" t="str">
        <f t="shared" ref="D724" si="574">_xlfn.CONCAT(A724:C724)</f>
        <v xml:space="preserve">    "message":  "Body Wound",</v>
      </c>
    </row>
    <row r="725" spans="1:4" x14ac:dyDescent="0.55000000000000004">
      <c r="A725" t="s">
        <v>764</v>
      </c>
      <c r="B725" t="str">
        <f>VLOOKUP(B723,Tabelle3!$A$2:$E$33,5,FALSE)</f>
        <v>No Red No Orange</v>
      </c>
      <c r="C725" t="s">
        <v>762</v>
      </c>
      <c r="D725" t="str">
        <f t="shared" si="539"/>
        <v xml:space="preserve">    "nextInstruction":  "No Red No Orange",</v>
      </c>
    </row>
    <row r="726" spans="1:4" x14ac:dyDescent="0.55000000000000004">
      <c r="A726" t="s">
        <v>765</v>
      </c>
      <c r="B726">
        <f>VLOOKUP(B723,Tabelle3!$A$2:$E$33,4,FALSE)</f>
        <v>5</v>
      </c>
      <c r="D726" t="str">
        <f t="shared" ref="D726:D789" si="575">IF(ISNUMBER(B726),(A726&amp;B726),"")</f>
        <v xml:space="preserve">    "damageModifier": 5</v>
      </c>
    </row>
    <row r="727" spans="1:4" x14ac:dyDescent="0.55000000000000004">
      <c r="A727" t="s">
        <v>6</v>
      </c>
      <c r="D727" t="str">
        <f t="shared" ref="D727:D790" si="576">A727</f>
        <v xml:space="preserve">  },</v>
      </c>
    </row>
    <row r="728" spans="1:4" x14ac:dyDescent="0.55000000000000004">
      <c r="A728" t="s">
        <v>121</v>
      </c>
      <c r="D728" t="str">
        <f t="shared" si="576"/>
        <v xml:space="preserve">  "10-14": {</v>
      </c>
    </row>
    <row r="729" spans="1:4" x14ac:dyDescent="0.55000000000000004">
      <c r="A729" t="s">
        <v>116</v>
      </c>
      <c r="B729">
        <f t="shared" ref="B729" si="577">_xlfn.NUMBERVALUE(RIGHT(A729,2))</f>
        <v>3</v>
      </c>
      <c r="D729" t="str">
        <f t="shared" ref="D729:D792" si="578">A729&amp;","</f>
        <v xml:space="preserve">    "resultPage": 3,</v>
      </c>
    </row>
    <row r="730" spans="1:4" x14ac:dyDescent="0.55000000000000004">
      <c r="A730" t="s">
        <v>763</v>
      </c>
      <c r="B730" t="str">
        <f>VLOOKUP(B729,Tabelle3!$A$2:$E$33,3,FALSE)</f>
        <v>Swinging High</v>
      </c>
      <c r="C730" t="s">
        <v>762</v>
      </c>
      <c r="D730" t="str">
        <f t="shared" ref="D730" si="579">_xlfn.CONCAT(A730:C730)</f>
        <v xml:space="preserve">    "message":  "Swinging High",</v>
      </c>
    </row>
    <row r="731" spans="1:4" x14ac:dyDescent="0.55000000000000004">
      <c r="A731" t="s">
        <v>764</v>
      </c>
      <c r="B731" t="str">
        <f>VLOOKUP(B729,Tabelle3!$A$2:$E$33,5,FALSE)</f>
        <v>No Red</v>
      </c>
      <c r="C731" t="s">
        <v>762</v>
      </c>
      <c r="D731" t="str">
        <f t="shared" si="539"/>
        <v xml:space="preserve">    "nextInstruction":  "No Red",</v>
      </c>
    </row>
    <row r="732" spans="1:4" x14ac:dyDescent="0.55000000000000004">
      <c r="A732" t="s">
        <v>765</v>
      </c>
      <c r="B732" t="str">
        <f>VLOOKUP(B729,Tabelle3!$A$2:$E$33,4,FALSE)</f>
        <v>""</v>
      </c>
      <c r="D732" t="str">
        <f t="shared" ref="D732:D795" si="580">IF(ISNUMBER(B732),(A732&amp;B732),"")</f>
        <v/>
      </c>
    </row>
    <row r="733" spans="1:4" x14ac:dyDescent="0.55000000000000004">
      <c r="A733" t="s">
        <v>6</v>
      </c>
      <c r="D733" t="str">
        <f t="shared" ref="D733:D796" si="581">A733</f>
        <v xml:space="preserve">  },</v>
      </c>
    </row>
    <row r="734" spans="1:4" x14ac:dyDescent="0.55000000000000004">
      <c r="A734" t="s">
        <v>122</v>
      </c>
      <c r="D734" t="str">
        <f t="shared" si="581"/>
        <v xml:space="preserve">  "10-16": {</v>
      </c>
    </row>
    <row r="735" spans="1:4" x14ac:dyDescent="0.55000000000000004">
      <c r="A735" t="s">
        <v>15</v>
      </c>
      <c r="B735">
        <f t="shared" ref="B735" si="582">_xlfn.NUMBERVALUE(RIGHT(A735,2))</f>
        <v>57</v>
      </c>
      <c r="D735" t="str">
        <f t="shared" ref="D735:D798" si="583">A735&amp;","</f>
        <v xml:space="preserve">    "resultPage": 57,</v>
      </c>
    </row>
    <row r="736" spans="1:4" x14ac:dyDescent="0.55000000000000004">
      <c r="A736" t="s">
        <v>763</v>
      </c>
      <c r="B736" t="str">
        <f>VLOOKUP(B735,Tabelle3!$A$2:$E$33,3,FALSE)</f>
        <v>Extended Range Blocking</v>
      </c>
      <c r="C736" t="s">
        <v>762</v>
      </c>
      <c r="D736" t="str">
        <f t="shared" ref="D736" si="584">_xlfn.CONCAT(A736:C736)</f>
        <v xml:space="preserve">    "message":  "Extended Range Blocking",</v>
      </c>
    </row>
    <row r="737" spans="1:4" x14ac:dyDescent="0.55000000000000004">
      <c r="A737" t="s">
        <v>764</v>
      </c>
      <c r="B737" t="str">
        <f>VLOOKUP(B735,Tabelle3!$A$2:$E$33,5,FALSE)</f>
        <v>Only Extended Range</v>
      </c>
      <c r="C737" t="s">
        <v>762</v>
      </c>
      <c r="D737" t="str">
        <f t="shared" si="539"/>
        <v xml:space="preserve">    "nextInstruction":  "Only Extended Range",</v>
      </c>
    </row>
    <row r="738" spans="1:4" x14ac:dyDescent="0.55000000000000004">
      <c r="A738" t="s">
        <v>765</v>
      </c>
      <c r="B738" t="str">
        <f>VLOOKUP(B735,Tabelle3!$A$2:$E$33,4,FALSE)</f>
        <v>""</v>
      </c>
      <c r="D738" t="str">
        <f t="shared" ref="D738:D801" si="585">IF(ISNUMBER(B738),(A738&amp;B738),"")</f>
        <v/>
      </c>
    </row>
    <row r="739" spans="1:4" x14ac:dyDescent="0.55000000000000004">
      <c r="A739" t="s">
        <v>6</v>
      </c>
      <c r="D739" t="str">
        <f t="shared" ref="D739:D802" si="586">A739</f>
        <v xml:space="preserve">  },</v>
      </c>
    </row>
    <row r="740" spans="1:4" x14ac:dyDescent="0.55000000000000004">
      <c r="A740" t="s">
        <v>123</v>
      </c>
      <c r="D740" t="str">
        <f t="shared" si="586"/>
        <v xml:space="preserve">  "10-18": {</v>
      </c>
    </row>
    <row r="741" spans="1:4" x14ac:dyDescent="0.55000000000000004">
      <c r="A741" t="s">
        <v>116</v>
      </c>
      <c r="B741">
        <f t="shared" ref="B741" si="587">_xlfn.NUMBERVALUE(RIGHT(A741,2))</f>
        <v>3</v>
      </c>
      <c r="D741" t="str">
        <f t="shared" ref="D741:D804" si="588">A741&amp;","</f>
        <v xml:space="preserve">    "resultPage": 3,</v>
      </c>
    </row>
    <row r="742" spans="1:4" x14ac:dyDescent="0.55000000000000004">
      <c r="A742" t="s">
        <v>763</v>
      </c>
      <c r="B742" t="str">
        <f>VLOOKUP(B741,Tabelle3!$A$2:$E$33,3,FALSE)</f>
        <v>Swinging High</v>
      </c>
      <c r="C742" t="s">
        <v>762</v>
      </c>
      <c r="D742" t="str">
        <f t="shared" ref="D742" si="589">_xlfn.CONCAT(A742:C742)</f>
        <v xml:space="preserve">    "message":  "Swinging High",</v>
      </c>
    </row>
    <row r="743" spans="1:4" x14ac:dyDescent="0.55000000000000004">
      <c r="A743" t="s">
        <v>764</v>
      </c>
      <c r="B743" t="str">
        <f>VLOOKUP(B741,Tabelle3!$A$2:$E$33,5,FALSE)</f>
        <v>No Red</v>
      </c>
      <c r="C743" t="s">
        <v>762</v>
      </c>
      <c r="D743" t="str">
        <f t="shared" si="539"/>
        <v xml:space="preserve">    "nextInstruction":  "No Red",</v>
      </c>
    </row>
    <row r="744" spans="1:4" x14ac:dyDescent="0.55000000000000004">
      <c r="A744" t="s">
        <v>765</v>
      </c>
      <c r="B744" t="str">
        <f>VLOOKUP(B741,Tabelle3!$A$2:$E$33,4,FALSE)</f>
        <v>""</v>
      </c>
      <c r="D744" t="str">
        <f t="shared" ref="D744:D807" si="590">IF(ISNUMBER(B744),(A744&amp;B744),"")</f>
        <v/>
      </c>
    </row>
    <row r="745" spans="1:4" x14ac:dyDescent="0.55000000000000004">
      <c r="A745" t="s">
        <v>6</v>
      </c>
      <c r="D745" t="str">
        <f t="shared" ref="D745:D808" si="591">A745</f>
        <v xml:space="preserve">  },</v>
      </c>
    </row>
    <row r="746" spans="1:4" x14ac:dyDescent="0.55000000000000004">
      <c r="A746" t="s">
        <v>124</v>
      </c>
      <c r="D746" t="str">
        <f t="shared" si="591"/>
        <v xml:space="preserve">  "10-20": {</v>
      </c>
    </row>
    <row r="747" spans="1:4" x14ac:dyDescent="0.55000000000000004">
      <c r="A747" t="s">
        <v>125</v>
      </c>
      <c r="B747">
        <f t="shared" ref="B747" si="592">_xlfn.NUMBERVALUE(RIGHT(A747,2))</f>
        <v>21</v>
      </c>
      <c r="D747" t="str">
        <f t="shared" ref="D747:D810" si="593">A747&amp;","</f>
        <v xml:space="preserve">    "resultPage": 21,</v>
      </c>
    </row>
    <row r="748" spans="1:4" x14ac:dyDescent="0.55000000000000004">
      <c r="A748" t="s">
        <v>763</v>
      </c>
      <c r="B748" t="str">
        <f>VLOOKUP(B747,Tabelle3!$A$2:$E$33,3,FALSE)</f>
        <v>Turned Around</v>
      </c>
      <c r="C748" t="s">
        <v>762</v>
      </c>
      <c r="D748" t="str">
        <f t="shared" ref="D748:D809" si="594">_xlfn.CONCAT(A748:C748)</f>
        <v xml:space="preserve">    "message":  "Turned Around",</v>
      </c>
    </row>
    <row r="749" spans="1:4" x14ac:dyDescent="0.55000000000000004">
      <c r="A749" t="s">
        <v>764</v>
      </c>
      <c r="B749" t="str">
        <f>VLOOKUP(B747,Tabelle3!$A$2:$E$33,5,FALSE)</f>
        <v>Only Yellow</v>
      </c>
      <c r="C749" t="s">
        <v>762</v>
      </c>
      <c r="D749" t="str">
        <f t="shared" si="594"/>
        <v xml:space="preserve">    "nextInstruction":  "Only Yellow",</v>
      </c>
    </row>
    <row r="750" spans="1:4" x14ac:dyDescent="0.55000000000000004">
      <c r="A750" t="s">
        <v>765</v>
      </c>
      <c r="B750">
        <f>VLOOKUP(B747,Tabelle3!$A$2:$E$33,4,FALSE)</f>
        <v>0</v>
      </c>
      <c r="D750" t="str">
        <f t="shared" ref="D750:D813" si="595">IF(ISNUMBER(B750),(A750&amp;B750),"")</f>
        <v xml:space="preserve">    "damageModifier": 0</v>
      </c>
    </row>
    <row r="751" spans="1:4" x14ac:dyDescent="0.55000000000000004">
      <c r="A751" t="s">
        <v>6</v>
      </c>
      <c r="D751" t="str">
        <f t="shared" ref="D751:D814" si="596">A751</f>
        <v xml:space="preserve">  },</v>
      </c>
    </row>
    <row r="752" spans="1:4" x14ac:dyDescent="0.55000000000000004">
      <c r="A752" t="s">
        <v>126</v>
      </c>
      <c r="D752" t="str">
        <f t="shared" si="596"/>
        <v xml:space="preserve">  "10-22": {</v>
      </c>
    </row>
    <row r="753" spans="1:4" x14ac:dyDescent="0.55000000000000004">
      <c r="A753" t="s">
        <v>116</v>
      </c>
      <c r="B753">
        <f t="shared" ref="B753" si="597">_xlfn.NUMBERVALUE(RIGHT(A753,2))</f>
        <v>3</v>
      </c>
      <c r="D753" t="str">
        <f t="shared" ref="D753:D816" si="598">A753&amp;","</f>
        <v xml:space="preserve">    "resultPage": 3,</v>
      </c>
    </row>
    <row r="754" spans="1:4" x14ac:dyDescent="0.55000000000000004">
      <c r="A754" t="s">
        <v>763</v>
      </c>
      <c r="B754" t="str">
        <f>VLOOKUP(B753,Tabelle3!$A$2:$E$33,3,FALSE)</f>
        <v>Swinging High</v>
      </c>
      <c r="C754" t="s">
        <v>762</v>
      </c>
      <c r="D754" t="str">
        <f t="shared" ref="D754" si="599">_xlfn.CONCAT(A754:C754)</f>
        <v xml:space="preserve">    "message":  "Swinging High",</v>
      </c>
    </row>
    <row r="755" spans="1:4" x14ac:dyDescent="0.55000000000000004">
      <c r="A755" t="s">
        <v>764</v>
      </c>
      <c r="B755" t="str">
        <f>VLOOKUP(B753,Tabelle3!$A$2:$E$33,5,FALSE)</f>
        <v>No Red</v>
      </c>
      <c r="C755" t="s">
        <v>762</v>
      </c>
      <c r="D755" t="str">
        <f t="shared" si="594"/>
        <v xml:space="preserve">    "nextInstruction":  "No Red",</v>
      </c>
    </row>
    <row r="756" spans="1:4" x14ac:dyDescent="0.55000000000000004">
      <c r="A756" t="s">
        <v>765</v>
      </c>
      <c r="B756" t="str">
        <f>VLOOKUP(B753,Tabelle3!$A$2:$E$33,4,FALSE)</f>
        <v>""</v>
      </c>
      <c r="D756" t="str">
        <f t="shared" ref="D756:D819" si="600">IF(ISNUMBER(B756),(A756&amp;B756),"")</f>
        <v/>
      </c>
    </row>
    <row r="757" spans="1:4" x14ac:dyDescent="0.55000000000000004">
      <c r="A757" t="s">
        <v>6</v>
      </c>
      <c r="D757" t="str">
        <f t="shared" ref="D757:D820" si="601">A757</f>
        <v xml:space="preserve">  },</v>
      </c>
    </row>
    <row r="758" spans="1:4" x14ac:dyDescent="0.55000000000000004">
      <c r="A758" t="s">
        <v>127</v>
      </c>
      <c r="D758" t="str">
        <f t="shared" si="601"/>
        <v xml:space="preserve">  "10-24": {</v>
      </c>
    </row>
    <row r="759" spans="1:4" x14ac:dyDescent="0.55000000000000004">
      <c r="A759" t="s">
        <v>76</v>
      </c>
      <c r="B759">
        <f t="shared" ref="B759" si="602">_xlfn.NUMBERVALUE(RIGHT(A759,2))</f>
        <v>45</v>
      </c>
      <c r="D759" t="str">
        <f t="shared" ref="D759:D822" si="603">A759&amp;","</f>
        <v xml:space="preserve">    "resultPage": 45,</v>
      </c>
    </row>
    <row r="760" spans="1:4" x14ac:dyDescent="0.55000000000000004">
      <c r="A760" t="s">
        <v>763</v>
      </c>
      <c r="B760" t="str">
        <f>VLOOKUP(B759,Tabelle3!$A$2:$E$33,3,FALSE)</f>
        <v>Parrying High</v>
      </c>
      <c r="C760" t="s">
        <v>762</v>
      </c>
      <c r="D760" t="str">
        <f t="shared" ref="D760" si="604">_xlfn.CONCAT(A760:C760)</f>
        <v xml:space="preserve">    "message":  "Parrying High",</v>
      </c>
    </row>
    <row r="761" spans="1:4" x14ac:dyDescent="0.55000000000000004">
      <c r="A761" t="s">
        <v>764</v>
      </c>
      <c r="B761" t="str">
        <f>VLOOKUP(B759,Tabelle3!$A$2:$E$33,5,FALSE)</f>
        <v/>
      </c>
      <c r="C761" t="s">
        <v>762</v>
      </c>
      <c r="D761" t="str">
        <f t="shared" si="594"/>
        <v xml:space="preserve">    "nextInstruction":  "",</v>
      </c>
    </row>
    <row r="762" spans="1:4" x14ac:dyDescent="0.55000000000000004">
      <c r="A762" t="s">
        <v>765</v>
      </c>
      <c r="B762">
        <f>VLOOKUP(B759,Tabelle3!$A$2:$E$33,4,FALSE)</f>
        <v>-4</v>
      </c>
      <c r="D762" t="str">
        <f t="shared" ref="D762:D825" si="605">IF(ISNUMBER(B762),(A762&amp;B762),"")</f>
        <v xml:space="preserve">    "damageModifier": -4</v>
      </c>
    </row>
    <row r="763" spans="1:4" x14ac:dyDescent="0.55000000000000004">
      <c r="A763" t="s">
        <v>6</v>
      </c>
      <c r="D763" t="str">
        <f t="shared" ref="D763:D826" si="606">A763</f>
        <v xml:space="preserve">  },</v>
      </c>
    </row>
    <row r="764" spans="1:4" x14ac:dyDescent="0.55000000000000004">
      <c r="A764" t="s">
        <v>128</v>
      </c>
      <c r="D764" t="str">
        <f t="shared" si="606"/>
        <v xml:space="preserve">  "10-26": {</v>
      </c>
    </row>
    <row r="765" spans="1:4" x14ac:dyDescent="0.55000000000000004">
      <c r="A765" t="s">
        <v>116</v>
      </c>
      <c r="B765">
        <f t="shared" ref="B765" si="607">_xlfn.NUMBERVALUE(RIGHT(A765,2))</f>
        <v>3</v>
      </c>
      <c r="D765" t="str">
        <f t="shared" ref="D765:D828" si="608">A765&amp;","</f>
        <v xml:space="preserve">    "resultPage": 3,</v>
      </c>
    </row>
    <row r="766" spans="1:4" x14ac:dyDescent="0.55000000000000004">
      <c r="A766" t="s">
        <v>763</v>
      </c>
      <c r="B766" t="str">
        <f>VLOOKUP(B765,Tabelle3!$A$2:$E$33,3,FALSE)</f>
        <v>Swinging High</v>
      </c>
      <c r="C766" t="s">
        <v>762</v>
      </c>
      <c r="D766" t="str">
        <f t="shared" ref="D766" si="609">_xlfn.CONCAT(A766:C766)</f>
        <v xml:space="preserve">    "message":  "Swinging High",</v>
      </c>
    </row>
    <row r="767" spans="1:4" x14ac:dyDescent="0.55000000000000004">
      <c r="A767" t="s">
        <v>764</v>
      </c>
      <c r="B767" t="str">
        <f>VLOOKUP(B765,Tabelle3!$A$2:$E$33,5,FALSE)</f>
        <v>No Red</v>
      </c>
      <c r="C767" t="s">
        <v>762</v>
      </c>
      <c r="D767" t="str">
        <f t="shared" si="594"/>
        <v xml:space="preserve">    "nextInstruction":  "No Red",</v>
      </c>
    </row>
    <row r="768" spans="1:4" x14ac:dyDescent="0.55000000000000004">
      <c r="A768" t="s">
        <v>765</v>
      </c>
      <c r="B768" t="str">
        <f>VLOOKUP(B765,Tabelle3!$A$2:$E$33,4,FALSE)</f>
        <v>""</v>
      </c>
      <c r="D768" t="str">
        <f t="shared" ref="D768:D831" si="610">IF(ISNUMBER(B768),(A768&amp;B768),"")</f>
        <v/>
      </c>
    </row>
    <row r="769" spans="1:4" x14ac:dyDescent="0.55000000000000004">
      <c r="A769" t="s">
        <v>6</v>
      </c>
      <c r="D769" t="str">
        <f t="shared" ref="D769:D832" si="611">A769</f>
        <v xml:space="preserve">  },</v>
      </c>
    </row>
    <row r="770" spans="1:4" x14ac:dyDescent="0.55000000000000004">
      <c r="A770" t="s">
        <v>129</v>
      </c>
      <c r="D770" t="str">
        <f t="shared" si="611"/>
        <v xml:space="preserve">  "10-28": {</v>
      </c>
    </row>
    <row r="771" spans="1:4" x14ac:dyDescent="0.55000000000000004">
      <c r="A771" t="s">
        <v>116</v>
      </c>
      <c r="B771">
        <f t="shared" ref="B771" si="612">_xlfn.NUMBERVALUE(RIGHT(A771,2))</f>
        <v>3</v>
      </c>
      <c r="D771" t="str">
        <f t="shared" ref="D771:D834" si="613">A771&amp;","</f>
        <v xml:space="preserve">    "resultPage": 3,</v>
      </c>
    </row>
    <row r="772" spans="1:4" x14ac:dyDescent="0.55000000000000004">
      <c r="A772" t="s">
        <v>763</v>
      </c>
      <c r="B772" t="str">
        <f>VLOOKUP(B771,Tabelle3!$A$2:$E$33,3,FALSE)</f>
        <v>Swinging High</v>
      </c>
      <c r="C772" t="s">
        <v>762</v>
      </c>
      <c r="D772" t="str">
        <f t="shared" ref="D772" si="614">_xlfn.CONCAT(A772:C772)</f>
        <v xml:space="preserve">    "message":  "Swinging High",</v>
      </c>
    </row>
    <row r="773" spans="1:4" x14ac:dyDescent="0.55000000000000004">
      <c r="A773" t="s">
        <v>764</v>
      </c>
      <c r="B773" t="str">
        <f>VLOOKUP(B771,Tabelle3!$A$2:$E$33,5,FALSE)</f>
        <v>No Red</v>
      </c>
      <c r="C773" t="s">
        <v>762</v>
      </c>
      <c r="D773" t="str">
        <f t="shared" si="594"/>
        <v xml:space="preserve">    "nextInstruction":  "No Red",</v>
      </c>
    </row>
    <row r="774" spans="1:4" x14ac:dyDescent="0.55000000000000004">
      <c r="A774" t="s">
        <v>765</v>
      </c>
      <c r="B774" t="str">
        <f>VLOOKUP(B771,Tabelle3!$A$2:$E$33,4,FALSE)</f>
        <v>""</v>
      </c>
      <c r="D774" t="str">
        <f t="shared" ref="D774:D837" si="615">IF(ISNUMBER(B774),(A774&amp;B774),"")</f>
        <v/>
      </c>
    </row>
    <row r="775" spans="1:4" x14ac:dyDescent="0.55000000000000004">
      <c r="A775" t="s">
        <v>6</v>
      </c>
      <c r="D775" t="str">
        <f t="shared" ref="D775:D838" si="616">A775</f>
        <v xml:space="preserve">  },</v>
      </c>
    </row>
    <row r="776" spans="1:4" x14ac:dyDescent="0.55000000000000004">
      <c r="A776" t="s">
        <v>130</v>
      </c>
      <c r="D776" t="str">
        <f t="shared" si="616"/>
        <v xml:space="preserve">  "10-30": {</v>
      </c>
    </row>
    <row r="777" spans="1:4" x14ac:dyDescent="0.55000000000000004">
      <c r="A777" t="s">
        <v>116</v>
      </c>
      <c r="B777">
        <f t="shared" ref="B777" si="617">_xlfn.NUMBERVALUE(RIGHT(A777,2))</f>
        <v>3</v>
      </c>
      <c r="D777" t="str">
        <f t="shared" ref="D777:D840" si="618">A777&amp;","</f>
        <v xml:space="preserve">    "resultPage": 3,</v>
      </c>
    </row>
    <row r="778" spans="1:4" x14ac:dyDescent="0.55000000000000004">
      <c r="A778" t="s">
        <v>763</v>
      </c>
      <c r="B778" t="str">
        <f>VLOOKUP(B777,Tabelle3!$A$2:$E$33,3,FALSE)</f>
        <v>Swinging High</v>
      </c>
      <c r="C778" t="s">
        <v>762</v>
      </c>
      <c r="D778" t="str">
        <f t="shared" ref="D778" si="619">_xlfn.CONCAT(A778:C778)</f>
        <v xml:space="preserve">    "message":  "Swinging High",</v>
      </c>
    </row>
    <row r="779" spans="1:4" x14ac:dyDescent="0.55000000000000004">
      <c r="A779" t="s">
        <v>764</v>
      </c>
      <c r="B779" t="str">
        <f>VLOOKUP(B777,Tabelle3!$A$2:$E$33,5,FALSE)</f>
        <v>No Red</v>
      </c>
      <c r="C779" t="s">
        <v>762</v>
      </c>
      <c r="D779" t="str">
        <f t="shared" si="594"/>
        <v xml:space="preserve">    "nextInstruction":  "No Red",</v>
      </c>
    </row>
    <row r="780" spans="1:4" x14ac:dyDescent="0.55000000000000004">
      <c r="A780" t="s">
        <v>765</v>
      </c>
      <c r="B780" t="str">
        <f>VLOOKUP(B777,Tabelle3!$A$2:$E$33,4,FALSE)</f>
        <v>""</v>
      </c>
      <c r="D780" t="str">
        <f t="shared" ref="D780:D843" si="620">IF(ISNUMBER(B780),(A780&amp;B780),"")</f>
        <v/>
      </c>
    </row>
    <row r="781" spans="1:4" x14ac:dyDescent="0.55000000000000004">
      <c r="A781" t="s">
        <v>6</v>
      </c>
      <c r="D781" t="str">
        <f t="shared" ref="D781:D844" si="621">A781</f>
        <v xml:space="preserve">  },</v>
      </c>
    </row>
    <row r="782" spans="1:4" x14ac:dyDescent="0.55000000000000004">
      <c r="A782" t="s">
        <v>131</v>
      </c>
      <c r="D782" t="str">
        <f t="shared" si="621"/>
        <v xml:space="preserve">  "10-32": {</v>
      </c>
    </row>
    <row r="783" spans="1:4" x14ac:dyDescent="0.55000000000000004">
      <c r="A783" t="s">
        <v>116</v>
      </c>
      <c r="B783">
        <f t="shared" ref="B783" si="622">_xlfn.NUMBERVALUE(RIGHT(A783,2))</f>
        <v>3</v>
      </c>
      <c r="D783" t="str">
        <f t="shared" ref="D783:D846" si="623">A783&amp;","</f>
        <v xml:space="preserve">    "resultPage": 3,</v>
      </c>
    </row>
    <row r="784" spans="1:4" x14ac:dyDescent="0.55000000000000004">
      <c r="A784" t="s">
        <v>763</v>
      </c>
      <c r="B784" t="str">
        <f>VLOOKUP(B783,Tabelle3!$A$2:$E$33,3,FALSE)</f>
        <v>Swinging High</v>
      </c>
      <c r="C784" t="s">
        <v>762</v>
      </c>
      <c r="D784" t="str">
        <f t="shared" ref="D784" si="624">_xlfn.CONCAT(A784:C784)</f>
        <v xml:space="preserve">    "message":  "Swinging High",</v>
      </c>
    </row>
    <row r="785" spans="1:4" x14ac:dyDescent="0.55000000000000004">
      <c r="A785" t="s">
        <v>764</v>
      </c>
      <c r="B785" t="str">
        <f>VLOOKUP(B783,Tabelle3!$A$2:$E$33,5,FALSE)</f>
        <v>No Red</v>
      </c>
      <c r="C785" t="s">
        <v>762</v>
      </c>
      <c r="D785" t="str">
        <f t="shared" si="594"/>
        <v xml:space="preserve">    "nextInstruction":  "No Red",</v>
      </c>
    </row>
    <row r="786" spans="1:4" x14ac:dyDescent="0.55000000000000004">
      <c r="A786" t="s">
        <v>765</v>
      </c>
      <c r="B786" t="str">
        <f>VLOOKUP(B783,Tabelle3!$A$2:$E$33,4,FALSE)</f>
        <v>""</v>
      </c>
      <c r="D786" t="str">
        <f t="shared" ref="D786:D849" si="625">IF(ISNUMBER(B786),(A786&amp;B786),"")</f>
        <v/>
      </c>
    </row>
    <row r="787" spans="1:4" x14ac:dyDescent="0.55000000000000004">
      <c r="A787" t="s">
        <v>6</v>
      </c>
      <c r="D787" t="str">
        <f t="shared" ref="D787:D850" si="626">A787</f>
        <v xml:space="preserve">  },</v>
      </c>
    </row>
    <row r="788" spans="1:4" x14ac:dyDescent="0.55000000000000004">
      <c r="A788" t="s">
        <v>132</v>
      </c>
      <c r="D788" t="str">
        <f t="shared" si="626"/>
        <v xml:space="preserve">  "10-34": {</v>
      </c>
    </row>
    <row r="789" spans="1:4" x14ac:dyDescent="0.55000000000000004">
      <c r="A789" t="s">
        <v>133</v>
      </c>
      <c r="B789">
        <f t="shared" ref="B789" si="627">_xlfn.NUMBERVALUE(RIGHT(A789,2))</f>
        <v>51</v>
      </c>
      <c r="D789" t="str">
        <f t="shared" ref="D789:D852" si="628">A789&amp;","</f>
        <v xml:space="preserve">    "resultPage": 51,</v>
      </c>
    </row>
    <row r="790" spans="1:4" x14ac:dyDescent="0.55000000000000004">
      <c r="A790" t="s">
        <v>763</v>
      </c>
      <c r="B790" t="str">
        <f>VLOOKUP(B789,Tabelle3!$A$2:$E$33,3,FALSE)</f>
        <v>Kicked Off Balance</v>
      </c>
      <c r="C790" t="s">
        <v>762</v>
      </c>
      <c r="D790" t="str">
        <f t="shared" ref="D790" si="629">_xlfn.CONCAT(A790:C790)</f>
        <v xml:space="preserve">    "message":  "Kicked Off Balance",</v>
      </c>
    </row>
    <row r="791" spans="1:4" x14ac:dyDescent="0.55000000000000004">
      <c r="A791" t="s">
        <v>764</v>
      </c>
      <c r="B791" t="str">
        <f>VLOOKUP(B789,Tabelle3!$A$2:$E$33,5,FALSE)</f>
        <v>Only Green Only Yellow</v>
      </c>
      <c r="C791" t="s">
        <v>762</v>
      </c>
      <c r="D791" t="str">
        <f t="shared" si="594"/>
        <v xml:space="preserve">    "nextInstruction":  "Only Green Only Yellow",</v>
      </c>
    </row>
    <row r="792" spans="1:4" x14ac:dyDescent="0.55000000000000004">
      <c r="A792" t="s">
        <v>765</v>
      </c>
      <c r="B792">
        <f>VLOOKUP(B789,Tabelle3!$A$2:$E$33,4,FALSE)</f>
        <v>0</v>
      </c>
      <c r="D792" t="str">
        <f t="shared" ref="D792:D855" si="630">IF(ISNUMBER(B792),(A792&amp;B792),"")</f>
        <v xml:space="preserve">    "damageModifier": 0</v>
      </c>
    </row>
    <row r="793" spans="1:4" x14ac:dyDescent="0.55000000000000004">
      <c r="A793" t="s">
        <v>6</v>
      </c>
      <c r="D793" t="str">
        <f t="shared" ref="D793:D856" si="631">A793</f>
        <v xml:space="preserve">  },</v>
      </c>
    </row>
    <row r="794" spans="1:4" x14ac:dyDescent="0.55000000000000004">
      <c r="A794" t="s">
        <v>134</v>
      </c>
      <c r="D794" t="str">
        <f t="shared" si="631"/>
        <v xml:space="preserve">  "10-36": {</v>
      </c>
    </row>
    <row r="795" spans="1:4" x14ac:dyDescent="0.55000000000000004">
      <c r="A795" t="s">
        <v>116</v>
      </c>
      <c r="B795">
        <f t="shared" ref="B795" si="632">_xlfn.NUMBERVALUE(RIGHT(A795,2))</f>
        <v>3</v>
      </c>
      <c r="D795" t="str">
        <f t="shared" ref="D795:D858" si="633">A795&amp;","</f>
        <v xml:space="preserve">    "resultPage": 3,</v>
      </c>
    </row>
    <row r="796" spans="1:4" x14ac:dyDescent="0.55000000000000004">
      <c r="A796" t="s">
        <v>763</v>
      </c>
      <c r="B796" t="str">
        <f>VLOOKUP(B795,Tabelle3!$A$2:$E$33,3,FALSE)</f>
        <v>Swinging High</v>
      </c>
      <c r="C796" t="s">
        <v>762</v>
      </c>
      <c r="D796" t="str">
        <f t="shared" ref="D796" si="634">_xlfn.CONCAT(A796:C796)</f>
        <v xml:space="preserve">    "message":  "Swinging High",</v>
      </c>
    </row>
    <row r="797" spans="1:4" x14ac:dyDescent="0.55000000000000004">
      <c r="A797" t="s">
        <v>764</v>
      </c>
      <c r="B797" t="str">
        <f>VLOOKUP(B795,Tabelle3!$A$2:$E$33,5,FALSE)</f>
        <v>No Red</v>
      </c>
      <c r="C797" t="s">
        <v>762</v>
      </c>
      <c r="D797" t="str">
        <f t="shared" si="594"/>
        <v xml:space="preserve">    "nextInstruction":  "No Red",</v>
      </c>
    </row>
    <row r="798" spans="1:4" x14ac:dyDescent="0.55000000000000004">
      <c r="A798" t="s">
        <v>765</v>
      </c>
      <c r="B798" t="str">
        <f>VLOOKUP(B795,Tabelle3!$A$2:$E$33,4,FALSE)</f>
        <v>""</v>
      </c>
      <c r="D798" t="str">
        <f t="shared" ref="D798:D861" si="635">IF(ISNUMBER(B798),(A798&amp;B798),"")</f>
        <v/>
      </c>
    </row>
    <row r="799" spans="1:4" x14ac:dyDescent="0.55000000000000004">
      <c r="A799" t="s">
        <v>6</v>
      </c>
      <c r="D799" t="str">
        <f t="shared" ref="D799:D862" si="636">A799</f>
        <v xml:space="preserve">  },</v>
      </c>
    </row>
    <row r="800" spans="1:4" x14ac:dyDescent="0.55000000000000004">
      <c r="A800" t="s">
        <v>135</v>
      </c>
      <c r="D800" t="str">
        <f t="shared" si="636"/>
        <v xml:space="preserve">  "10-38": {</v>
      </c>
    </row>
    <row r="801" spans="1:4" x14ac:dyDescent="0.55000000000000004">
      <c r="A801" t="s">
        <v>76</v>
      </c>
      <c r="B801">
        <f t="shared" ref="B801" si="637">_xlfn.NUMBERVALUE(RIGHT(A801,2))</f>
        <v>45</v>
      </c>
      <c r="D801" t="str">
        <f t="shared" ref="D801:D864" si="638">A801&amp;","</f>
        <v xml:space="preserve">    "resultPage": 45,</v>
      </c>
    </row>
    <row r="802" spans="1:4" x14ac:dyDescent="0.55000000000000004">
      <c r="A802" t="s">
        <v>763</v>
      </c>
      <c r="B802" t="str">
        <f>VLOOKUP(B801,Tabelle3!$A$2:$E$33,3,FALSE)</f>
        <v>Parrying High</v>
      </c>
      <c r="C802" t="s">
        <v>762</v>
      </c>
      <c r="D802" t="str">
        <f t="shared" ref="D802" si="639">_xlfn.CONCAT(A802:C802)</f>
        <v xml:space="preserve">    "message":  "Parrying High",</v>
      </c>
    </row>
    <row r="803" spans="1:4" x14ac:dyDescent="0.55000000000000004">
      <c r="A803" t="s">
        <v>764</v>
      </c>
      <c r="B803" t="str">
        <f>VLOOKUP(B801,Tabelle3!$A$2:$E$33,5,FALSE)</f>
        <v/>
      </c>
      <c r="C803" t="s">
        <v>762</v>
      </c>
      <c r="D803" t="str">
        <f t="shared" si="594"/>
        <v xml:space="preserve">    "nextInstruction":  "",</v>
      </c>
    </row>
    <row r="804" spans="1:4" x14ac:dyDescent="0.55000000000000004">
      <c r="A804" t="s">
        <v>765</v>
      </c>
      <c r="B804">
        <f>VLOOKUP(B801,Tabelle3!$A$2:$E$33,4,FALSE)</f>
        <v>-4</v>
      </c>
      <c r="D804" t="str">
        <f t="shared" ref="D804:D867" si="640">IF(ISNUMBER(B804),(A804&amp;B804),"")</f>
        <v xml:space="preserve">    "damageModifier": -4</v>
      </c>
    </row>
    <row r="805" spans="1:4" x14ac:dyDescent="0.55000000000000004">
      <c r="A805" t="s">
        <v>6</v>
      </c>
      <c r="D805" t="str">
        <f t="shared" ref="D805:D868" si="641">A805</f>
        <v xml:space="preserve">  },</v>
      </c>
    </row>
    <row r="806" spans="1:4" x14ac:dyDescent="0.55000000000000004">
      <c r="A806" t="s">
        <v>136</v>
      </c>
      <c r="D806" t="str">
        <f t="shared" si="641"/>
        <v xml:space="preserve">  "10-40": {</v>
      </c>
    </row>
    <row r="807" spans="1:4" x14ac:dyDescent="0.55000000000000004">
      <c r="A807" t="s">
        <v>116</v>
      </c>
      <c r="B807">
        <f t="shared" ref="B807" si="642">_xlfn.NUMBERVALUE(RIGHT(A807,2))</f>
        <v>3</v>
      </c>
      <c r="D807" t="str">
        <f t="shared" ref="D807:D870" si="643">A807&amp;","</f>
        <v xml:space="preserve">    "resultPage": 3,</v>
      </c>
    </row>
    <row r="808" spans="1:4" x14ac:dyDescent="0.55000000000000004">
      <c r="A808" t="s">
        <v>763</v>
      </c>
      <c r="B808" t="str">
        <f>VLOOKUP(B807,Tabelle3!$A$2:$E$33,3,FALSE)</f>
        <v>Swinging High</v>
      </c>
      <c r="C808" t="s">
        <v>762</v>
      </c>
      <c r="D808" t="str">
        <f t="shared" ref="D808" si="644">_xlfn.CONCAT(A808:C808)</f>
        <v xml:space="preserve">    "message":  "Swinging High",</v>
      </c>
    </row>
    <row r="809" spans="1:4" x14ac:dyDescent="0.55000000000000004">
      <c r="A809" t="s">
        <v>764</v>
      </c>
      <c r="B809" t="str">
        <f>VLOOKUP(B807,Tabelle3!$A$2:$E$33,5,FALSE)</f>
        <v>No Red</v>
      </c>
      <c r="C809" t="s">
        <v>762</v>
      </c>
      <c r="D809" t="str">
        <f t="shared" si="594"/>
        <v xml:space="preserve">    "nextInstruction":  "No Red",</v>
      </c>
    </row>
    <row r="810" spans="1:4" x14ac:dyDescent="0.55000000000000004">
      <c r="A810" t="s">
        <v>765</v>
      </c>
      <c r="B810" t="str">
        <f>VLOOKUP(B807,Tabelle3!$A$2:$E$33,4,FALSE)</f>
        <v>""</v>
      </c>
      <c r="D810" t="str">
        <f t="shared" ref="D810:D873" si="645">IF(ISNUMBER(B810),(A810&amp;B810),"")</f>
        <v/>
      </c>
    </row>
    <row r="811" spans="1:4" x14ac:dyDescent="0.55000000000000004">
      <c r="A811" t="s">
        <v>6</v>
      </c>
      <c r="D811" t="str">
        <f t="shared" ref="D811:D874" si="646">A811</f>
        <v xml:space="preserve">  },</v>
      </c>
    </row>
    <row r="812" spans="1:4" x14ac:dyDescent="0.55000000000000004">
      <c r="A812" t="s">
        <v>137</v>
      </c>
      <c r="D812" t="str">
        <f t="shared" si="646"/>
        <v xml:space="preserve">  "10-42": {</v>
      </c>
    </row>
    <row r="813" spans="1:4" x14ac:dyDescent="0.55000000000000004">
      <c r="A813" t="s">
        <v>138</v>
      </c>
      <c r="B813">
        <f t="shared" ref="B813" si="647">_xlfn.NUMBERVALUE(RIGHT(A813,2))</f>
        <v>13</v>
      </c>
      <c r="D813" t="str">
        <f t="shared" ref="D813:D876" si="648">A813&amp;","</f>
        <v xml:space="preserve">    "resultPage": 13,</v>
      </c>
    </row>
    <row r="814" spans="1:4" x14ac:dyDescent="0.55000000000000004">
      <c r="A814" t="s">
        <v>763</v>
      </c>
      <c r="B814" t="str">
        <f>VLOOKUP(B813,Tabelle3!$A$2:$E$33,3,FALSE)</f>
        <v>Leg Wound</v>
      </c>
      <c r="C814" t="s">
        <v>762</v>
      </c>
      <c r="D814" t="str">
        <f t="shared" ref="D814:D875" si="649">_xlfn.CONCAT(A814:C814)</f>
        <v xml:space="preserve">    "message":  "Leg Wound",</v>
      </c>
    </row>
    <row r="815" spans="1:4" x14ac:dyDescent="0.55000000000000004">
      <c r="A815" t="s">
        <v>764</v>
      </c>
      <c r="B815" t="str">
        <f>VLOOKUP(B813,Tabelle3!$A$2:$E$33,5,FALSE)</f>
        <v>No Orange</v>
      </c>
      <c r="C815" t="s">
        <v>762</v>
      </c>
      <c r="D815" t="str">
        <f t="shared" si="649"/>
        <v xml:space="preserve">    "nextInstruction":  "No Orange",</v>
      </c>
    </row>
    <row r="816" spans="1:4" x14ac:dyDescent="0.55000000000000004">
      <c r="A816" t="s">
        <v>765</v>
      </c>
      <c r="B816">
        <f>VLOOKUP(B813,Tabelle3!$A$2:$E$33,4,FALSE)</f>
        <v>4</v>
      </c>
      <c r="D816" t="str">
        <f t="shared" ref="D816:D879" si="650">IF(ISNUMBER(B816),(A816&amp;B816),"")</f>
        <v xml:space="preserve">    "damageModifier": 4</v>
      </c>
    </row>
    <row r="817" spans="1:4" x14ac:dyDescent="0.55000000000000004">
      <c r="A817" t="s">
        <v>6</v>
      </c>
      <c r="D817" t="str">
        <f t="shared" ref="D817:D880" si="651">A817</f>
        <v xml:space="preserve">  },</v>
      </c>
    </row>
    <row r="818" spans="1:4" x14ac:dyDescent="0.55000000000000004">
      <c r="A818" t="s">
        <v>139</v>
      </c>
      <c r="D818" t="str">
        <f t="shared" si="651"/>
        <v xml:space="preserve">  "10-44": {</v>
      </c>
    </row>
    <row r="819" spans="1:4" x14ac:dyDescent="0.55000000000000004">
      <c r="A819" t="s">
        <v>76</v>
      </c>
      <c r="B819">
        <f t="shared" ref="B819" si="652">_xlfn.NUMBERVALUE(RIGHT(A819,2))</f>
        <v>45</v>
      </c>
      <c r="D819" t="str">
        <f t="shared" ref="D819:D882" si="653">A819&amp;","</f>
        <v xml:space="preserve">    "resultPage": 45,</v>
      </c>
    </row>
    <row r="820" spans="1:4" x14ac:dyDescent="0.55000000000000004">
      <c r="A820" t="s">
        <v>763</v>
      </c>
      <c r="B820" t="str">
        <f>VLOOKUP(B819,Tabelle3!$A$2:$E$33,3,FALSE)</f>
        <v>Parrying High</v>
      </c>
      <c r="C820" t="s">
        <v>762</v>
      </c>
      <c r="D820" t="str">
        <f t="shared" ref="D820" si="654">_xlfn.CONCAT(A820:C820)</f>
        <v xml:space="preserve">    "message":  "Parrying High",</v>
      </c>
    </row>
    <row r="821" spans="1:4" x14ac:dyDescent="0.55000000000000004">
      <c r="A821" t="s">
        <v>764</v>
      </c>
      <c r="B821" t="str">
        <f>VLOOKUP(B819,Tabelle3!$A$2:$E$33,5,FALSE)</f>
        <v/>
      </c>
      <c r="C821" t="s">
        <v>762</v>
      </c>
      <c r="D821" t="str">
        <f t="shared" si="649"/>
        <v xml:space="preserve">    "nextInstruction":  "",</v>
      </c>
    </row>
    <row r="822" spans="1:4" x14ac:dyDescent="0.55000000000000004">
      <c r="A822" t="s">
        <v>765</v>
      </c>
      <c r="B822">
        <f>VLOOKUP(B819,Tabelle3!$A$2:$E$33,4,FALSE)</f>
        <v>-4</v>
      </c>
      <c r="D822" t="str">
        <f t="shared" ref="D822:D885" si="655">IF(ISNUMBER(B822),(A822&amp;B822),"")</f>
        <v xml:space="preserve">    "damageModifier": -4</v>
      </c>
    </row>
    <row r="823" spans="1:4" x14ac:dyDescent="0.55000000000000004">
      <c r="A823" t="s">
        <v>6</v>
      </c>
      <c r="D823" t="str">
        <f t="shared" ref="D823:D886" si="656">A823</f>
        <v xml:space="preserve">  },</v>
      </c>
    </row>
    <row r="824" spans="1:4" x14ac:dyDescent="0.55000000000000004">
      <c r="A824" t="s">
        <v>140</v>
      </c>
      <c r="D824" t="str">
        <f t="shared" si="656"/>
        <v xml:space="preserve">  "10-46": {</v>
      </c>
    </row>
    <row r="825" spans="1:4" x14ac:dyDescent="0.55000000000000004">
      <c r="A825" t="s">
        <v>116</v>
      </c>
      <c r="B825">
        <f t="shared" ref="B825" si="657">_xlfn.NUMBERVALUE(RIGHT(A825,2))</f>
        <v>3</v>
      </c>
      <c r="D825" t="str">
        <f t="shared" ref="D825:D888" si="658">A825&amp;","</f>
        <v xml:space="preserve">    "resultPage": 3,</v>
      </c>
    </row>
    <row r="826" spans="1:4" x14ac:dyDescent="0.55000000000000004">
      <c r="A826" t="s">
        <v>763</v>
      </c>
      <c r="B826" t="str">
        <f>VLOOKUP(B825,Tabelle3!$A$2:$E$33,3,FALSE)</f>
        <v>Swinging High</v>
      </c>
      <c r="C826" t="s">
        <v>762</v>
      </c>
      <c r="D826" t="str">
        <f t="shared" ref="D826" si="659">_xlfn.CONCAT(A826:C826)</f>
        <v xml:space="preserve">    "message":  "Swinging High",</v>
      </c>
    </row>
    <row r="827" spans="1:4" x14ac:dyDescent="0.55000000000000004">
      <c r="A827" t="s">
        <v>764</v>
      </c>
      <c r="B827" t="str">
        <f>VLOOKUP(B825,Tabelle3!$A$2:$E$33,5,FALSE)</f>
        <v>No Red</v>
      </c>
      <c r="C827" t="s">
        <v>762</v>
      </c>
      <c r="D827" t="str">
        <f t="shared" si="649"/>
        <v xml:space="preserve">    "nextInstruction":  "No Red",</v>
      </c>
    </row>
    <row r="828" spans="1:4" x14ac:dyDescent="0.55000000000000004">
      <c r="A828" t="s">
        <v>765</v>
      </c>
      <c r="B828" t="str">
        <f>VLOOKUP(B825,Tabelle3!$A$2:$E$33,4,FALSE)</f>
        <v>""</v>
      </c>
      <c r="D828" t="str">
        <f t="shared" ref="D828:D891" si="660">IF(ISNUMBER(B828),(A828&amp;B828),"")</f>
        <v/>
      </c>
    </row>
    <row r="829" spans="1:4" x14ac:dyDescent="0.55000000000000004">
      <c r="A829" t="s">
        <v>6</v>
      </c>
      <c r="D829" t="str">
        <f t="shared" ref="D829:D892" si="661">A829</f>
        <v xml:space="preserve">  },</v>
      </c>
    </row>
    <row r="830" spans="1:4" x14ac:dyDescent="0.55000000000000004">
      <c r="A830" t="s">
        <v>141</v>
      </c>
      <c r="D830" t="str">
        <f t="shared" si="661"/>
        <v xml:space="preserve">  "10-48": {</v>
      </c>
    </row>
    <row r="831" spans="1:4" x14ac:dyDescent="0.55000000000000004">
      <c r="A831" t="s">
        <v>76</v>
      </c>
      <c r="B831">
        <f t="shared" ref="B831" si="662">_xlfn.NUMBERVALUE(RIGHT(A831,2))</f>
        <v>45</v>
      </c>
      <c r="D831" t="str">
        <f t="shared" ref="D831:D894" si="663">A831&amp;","</f>
        <v xml:space="preserve">    "resultPage": 45,</v>
      </c>
    </row>
    <row r="832" spans="1:4" x14ac:dyDescent="0.55000000000000004">
      <c r="A832" t="s">
        <v>763</v>
      </c>
      <c r="B832" t="str">
        <f>VLOOKUP(B831,Tabelle3!$A$2:$E$33,3,FALSE)</f>
        <v>Parrying High</v>
      </c>
      <c r="C832" t="s">
        <v>762</v>
      </c>
      <c r="D832" t="str">
        <f t="shared" ref="D832" si="664">_xlfn.CONCAT(A832:C832)</f>
        <v xml:space="preserve">    "message":  "Parrying High",</v>
      </c>
    </row>
    <row r="833" spans="1:4" x14ac:dyDescent="0.55000000000000004">
      <c r="A833" t="s">
        <v>764</v>
      </c>
      <c r="B833" t="str">
        <f>VLOOKUP(B831,Tabelle3!$A$2:$E$33,5,FALSE)</f>
        <v/>
      </c>
      <c r="C833" t="s">
        <v>762</v>
      </c>
      <c r="D833" t="str">
        <f t="shared" si="649"/>
        <v xml:space="preserve">    "nextInstruction":  "",</v>
      </c>
    </row>
    <row r="834" spans="1:4" x14ac:dyDescent="0.55000000000000004">
      <c r="A834" t="s">
        <v>765</v>
      </c>
      <c r="B834">
        <f>VLOOKUP(B831,Tabelle3!$A$2:$E$33,4,FALSE)</f>
        <v>-4</v>
      </c>
      <c r="D834" t="str">
        <f t="shared" ref="D834:D897" si="665">IF(ISNUMBER(B834),(A834&amp;B834),"")</f>
        <v xml:space="preserve">    "damageModifier": -4</v>
      </c>
    </row>
    <row r="835" spans="1:4" x14ac:dyDescent="0.55000000000000004">
      <c r="A835" t="s">
        <v>6</v>
      </c>
      <c r="D835" t="str">
        <f t="shared" ref="D835:D898" si="666">A835</f>
        <v xml:space="preserve">  },</v>
      </c>
    </row>
    <row r="836" spans="1:4" x14ac:dyDescent="0.55000000000000004">
      <c r="A836" t="s">
        <v>142</v>
      </c>
      <c r="D836" t="str">
        <f t="shared" si="666"/>
        <v xml:space="preserve">  "12-4": {</v>
      </c>
    </row>
    <row r="837" spans="1:4" x14ac:dyDescent="0.55000000000000004">
      <c r="A837" t="s">
        <v>35</v>
      </c>
      <c r="B837">
        <f t="shared" ref="B837" si="667">_xlfn.NUMBERVALUE(RIGHT(A837,2))</f>
        <v>59</v>
      </c>
      <c r="D837" t="str">
        <f t="shared" ref="D837:D900" si="668">A837&amp;","</f>
        <v xml:space="preserve">    "resultPage": 59,</v>
      </c>
    </row>
    <row r="838" spans="1:4" x14ac:dyDescent="0.55000000000000004">
      <c r="A838" t="s">
        <v>763</v>
      </c>
      <c r="B838" t="str">
        <f>VLOOKUP(B837,Tabelle3!$A$2:$E$33,3,FALSE)</f>
        <v>Pushed off Balance</v>
      </c>
      <c r="C838" t="s">
        <v>762</v>
      </c>
      <c r="D838" t="str">
        <f t="shared" ref="D838" si="669">_xlfn.CONCAT(A838:C838)</f>
        <v xml:space="preserve">    "message":  "Pushed off Balance",</v>
      </c>
    </row>
    <row r="839" spans="1:4" x14ac:dyDescent="0.55000000000000004">
      <c r="A839" t="s">
        <v>764</v>
      </c>
      <c r="B839" t="str">
        <f>VLOOKUP(B837,Tabelle3!$A$2:$E$33,5,FALSE)</f>
        <v>Only Green Only Yellow</v>
      </c>
      <c r="C839" t="s">
        <v>762</v>
      </c>
      <c r="D839" t="str">
        <f t="shared" si="649"/>
        <v xml:space="preserve">    "nextInstruction":  "Only Green Only Yellow",</v>
      </c>
    </row>
    <row r="840" spans="1:4" x14ac:dyDescent="0.55000000000000004">
      <c r="A840" t="s">
        <v>765</v>
      </c>
      <c r="B840">
        <f>VLOOKUP(B837,Tabelle3!$A$2:$E$33,4,FALSE)</f>
        <v>0</v>
      </c>
      <c r="D840" t="str">
        <f t="shared" ref="D840:D903" si="670">IF(ISNUMBER(B840),(A840&amp;B840),"")</f>
        <v xml:space="preserve">    "damageModifier": 0</v>
      </c>
    </row>
    <row r="841" spans="1:4" x14ac:dyDescent="0.55000000000000004">
      <c r="A841" t="s">
        <v>6</v>
      </c>
      <c r="D841" t="str">
        <f t="shared" ref="D841:D904" si="671">A841</f>
        <v xml:space="preserve">  },</v>
      </c>
    </row>
    <row r="842" spans="1:4" x14ac:dyDescent="0.55000000000000004">
      <c r="A842" t="s">
        <v>143</v>
      </c>
      <c r="D842" t="str">
        <f t="shared" si="671"/>
        <v xml:space="preserve">  "12-6": {</v>
      </c>
    </row>
    <row r="843" spans="1:4" x14ac:dyDescent="0.55000000000000004">
      <c r="A843" t="s">
        <v>116</v>
      </c>
      <c r="B843">
        <f t="shared" ref="B843" si="672">_xlfn.NUMBERVALUE(RIGHT(A843,2))</f>
        <v>3</v>
      </c>
      <c r="D843" t="str">
        <f t="shared" ref="D843:D906" si="673">A843&amp;","</f>
        <v xml:space="preserve">    "resultPage": 3,</v>
      </c>
    </row>
    <row r="844" spans="1:4" x14ac:dyDescent="0.55000000000000004">
      <c r="A844" t="s">
        <v>763</v>
      </c>
      <c r="B844" t="str">
        <f>VLOOKUP(B843,Tabelle3!$A$2:$E$33,3,FALSE)</f>
        <v>Swinging High</v>
      </c>
      <c r="C844" t="s">
        <v>762</v>
      </c>
      <c r="D844" t="str">
        <f t="shared" ref="D844" si="674">_xlfn.CONCAT(A844:C844)</f>
        <v xml:space="preserve">    "message":  "Swinging High",</v>
      </c>
    </row>
    <row r="845" spans="1:4" x14ac:dyDescent="0.55000000000000004">
      <c r="A845" t="s">
        <v>764</v>
      </c>
      <c r="B845" t="str">
        <f>VLOOKUP(B843,Tabelle3!$A$2:$E$33,5,FALSE)</f>
        <v>No Red</v>
      </c>
      <c r="C845" t="s">
        <v>762</v>
      </c>
      <c r="D845" t="str">
        <f t="shared" si="649"/>
        <v xml:space="preserve">    "nextInstruction":  "No Red",</v>
      </c>
    </row>
    <row r="846" spans="1:4" x14ac:dyDescent="0.55000000000000004">
      <c r="A846" t="s">
        <v>765</v>
      </c>
      <c r="B846" t="str">
        <f>VLOOKUP(B843,Tabelle3!$A$2:$E$33,4,FALSE)</f>
        <v>""</v>
      </c>
      <c r="D846" t="str">
        <f t="shared" ref="D846:D909" si="675">IF(ISNUMBER(B846),(A846&amp;B846),"")</f>
        <v/>
      </c>
    </row>
    <row r="847" spans="1:4" x14ac:dyDescent="0.55000000000000004">
      <c r="A847" t="s">
        <v>6</v>
      </c>
      <c r="D847" t="str">
        <f t="shared" ref="D847:D910" si="676">A847</f>
        <v xml:space="preserve">  },</v>
      </c>
    </row>
    <row r="848" spans="1:4" x14ac:dyDescent="0.55000000000000004">
      <c r="A848" t="s">
        <v>144</v>
      </c>
      <c r="D848" t="str">
        <f t="shared" si="676"/>
        <v xml:space="preserve">  "12-8": {</v>
      </c>
    </row>
    <row r="849" spans="1:4" x14ac:dyDescent="0.55000000000000004">
      <c r="A849" t="s">
        <v>116</v>
      </c>
      <c r="B849">
        <f t="shared" ref="B849" si="677">_xlfn.NUMBERVALUE(RIGHT(A849,2))</f>
        <v>3</v>
      </c>
      <c r="D849" t="str">
        <f t="shared" ref="D849:D912" si="678">A849&amp;","</f>
        <v xml:space="preserve">    "resultPage": 3,</v>
      </c>
    </row>
    <row r="850" spans="1:4" x14ac:dyDescent="0.55000000000000004">
      <c r="A850" t="s">
        <v>763</v>
      </c>
      <c r="B850" t="str">
        <f>VLOOKUP(B849,Tabelle3!$A$2:$E$33,3,FALSE)</f>
        <v>Swinging High</v>
      </c>
      <c r="C850" t="s">
        <v>762</v>
      </c>
      <c r="D850" t="str">
        <f t="shared" ref="D850" si="679">_xlfn.CONCAT(A850:C850)</f>
        <v xml:space="preserve">    "message":  "Swinging High",</v>
      </c>
    </row>
    <row r="851" spans="1:4" x14ac:dyDescent="0.55000000000000004">
      <c r="A851" t="s">
        <v>764</v>
      </c>
      <c r="B851" t="str">
        <f>VLOOKUP(B849,Tabelle3!$A$2:$E$33,5,FALSE)</f>
        <v>No Red</v>
      </c>
      <c r="C851" t="s">
        <v>762</v>
      </c>
      <c r="D851" t="str">
        <f t="shared" si="649"/>
        <v xml:space="preserve">    "nextInstruction":  "No Red",</v>
      </c>
    </row>
    <row r="852" spans="1:4" x14ac:dyDescent="0.55000000000000004">
      <c r="A852" t="s">
        <v>765</v>
      </c>
      <c r="B852" t="str">
        <f>VLOOKUP(B849,Tabelle3!$A$2:$E$33,4,FALSE)</f>
        <v>""</v>
      </c>
      <c r="D852" t="str">
        <f t="shared" ref="D852:D915" si="680">IF(ISNUMBER(B852),(A852&amp;B852),"")</f>
        <v/>
      </c>
    </row>
    <row r="853" spans="1:4" x14ac:dyDescent="0.55000000000000004">
      <c r="A853" t="s">
        <v>6</v>
      </c>
      <c r="D853" t="str">
        <f t="shared" ref="D853:D916" si="681">A853</f>
        <v xml:space="preserve">  },</v>
      </c>
    </row>
    <row r="854" spans="1:4" x14ac:dyDescent="0.55000000000000004">
      <c r="A854" t="s">
        <v>145</v>
      </c>
      <c r="D854" t="str">
        <f t="shared" si="681"/>
        <v xml:space="preserve">  "12-10": {</v>
      </c>
    </row>
    <row r="855" spans="1:4" x14ac:dyDescent="0.55000000000000004">
      <c r="A855" t="s">
        <v>116</v>
      </c>
      <c r="B855">
        <f t="shared" ref="B855" si="682">_xlfn.NUMBERVALUE(RIGHT(A855,2))</f>
        <v>3</v>
      </c>
      <c r="D855" t="str">
        <f t="shared" ref="D855:D918" si="683">A855&amp;","</f>
        <v xml:space="preserve">    "resultPage": 3,</v>
      </c>
    </row>
    <row r="856" spans="1:4" x14ac:dyDescent="0.55000000000000004">
      <c r="A856" t="s">
        <v>763</v>
      </c>
      <c r="B856" t="str">
        <f>VLOOKUP(B855,Tabelle3!$A$2:$E$33,3,FALSE)</f>
        <v>Swinging High</v>
      </c>
      <c r="C856" t="s">
        <v>762</v>
      </c>
      <c r="D856" t="str">
        <f t="shared" ref="D856" si="684">_xlfn.CONCAT(A856:C856)</f>
        <v xml:space="preserve">    "message":  "Swinging High",</v>
      </c>
    </row>
    <row r="857" spans="1:4" x14ac:dyDescent="0.55000000000000004">
      <c r="A857" t="s">
        <v>764</v>
      </c>
      <c r="B857" t="str">
        <f>VLOOKUP(B855,Tabelle3!$A$2:$E$33,5,FALSE)</f>
        <v>No Red</v>
      </c>
      <c r="C857" t="s">
        <v>762</v>
      </c>
      <c r="D857" t="str">
        <f t="shared" si="649"/>
        <v xml:space="preserve">    "nextInstruction":  "No Red",</v>
      </c>
    </row>
    <row r="858" spans="1:4" x14ac:dyDescent="0.55000000000000004">
      <c r="A858" t="s">
        <v>765</v>
      </c>
      <c r="B858" t="str">
        <f>VLOOKUP(B855,Tabelle3!$A$2:$E$33,4,FALSE)</f>
        <v>""</v>
      </c>
      <c r="D858" t="str">
        <f t="shared" ref="D858:D921" si="685">IF(ISNUMBER(B858),(A858&amp;B858),"")</f>
        <v/>
      </c>
    </row>
    <row r="859" spans="1:4" x14ac:dyDescent="0.55000000000000004">
      <c r="A859" t="s">
        <v>6</v>
      </c>
      <c r="D859" t="str">
        <f t="shared" ref="D859:D922" si="686">A859</f>
        <v xml:space="preserve">  },</v>
      </c>
    </row>
    <row r="860" spans="1:4" x14ac:dyDescent="0.55000000000000004">
      <c r="A860" t="s">
        <v>146</v>
      </c>
      <c r="D860" t="str">
        <f t="shared" si="686"/>
        <v xml:space="preserve">  "12-12": {</v>
      </c>
    </row>
    <row r="861" spans="1:4" x14ac:dyDescent="0.55000000000000004">
      <c r="A861" t="s">
        <v>76</v>
      </c>
      <c r="B861">
        <f t="shared" ref="B861" si="687">_xlfn.NUMBERVALUE(RIGHT(A861,2))</f>
        <v>45</v>
      </c>
      <c r="D861" t="str">
        <f t="shared" ref="D861:D924" si="688">A861&amp;","</f>
        <v xml:space="preserve">    "resultPage": 45,</v>
      </c>
    </row>
    <row r="862" spans="1:4" x14ac:dyDescent="0.55000000000000004">
      <c r="A862" t="s">
        <v>763</v>
      </c>
      <c r="B862" t="str">
        <f>VLOOKUP(B861,Tabelle3!$A$2:$E$33,3,FALSE)</f>
        <v>Parrying High</v>
      </c>
      <c r="C862" t="s">
        <v>762</v>
      </c>
      <c r="D862" t="str">
        <f t="shared" ref="D862" si="689">_xlfn.CONCAT(A862:C862)</f>
        <v xml:space="preserve">    "message":  "Parrying High",</v>
      </c>
    </row>
    <row r="863" spans="1:4" x14ac:dyDescent="0.55000000000000004">
      <c r="A863" t="s">
        <v>764</v>
      </c>
      <c r="B863" t="str">
        <f>VLOOKUP(B861,Tabelle3!$A$2:$E$33,5,FALSE)</f>
        <v/>
      </c>
      <c r="C863" t="s">
        <v>762</v>
      </c>
      <c r="D863" t="str">
        <f t="shared" si="649"/>
        <v xml:space="preserve">    "nextInstruction":  "",</v>
      </c>
    </row>
    <row r="864" spans="1:4" x14ac:dyDescent="0.55000000000000004">
      <c r="A864" t="s">
        <v>765</v>
      </c>
      <c r="B864">
        <f>VLOOKUP(B861,Tabelle3!$A$2:$E$33,4,FALSE)</f>
        <v>-4</v>
      </c>
      <c r="D864" t="str">
        <f t="shared" ref="D864:D927" si="690">IF(ISNUMBER(B864),(A864&amp;B864),"")</f>
        <v xml:space="preserve">    "damageModifier": -4</v>
      </c>
    </row>
    <row r="865" spans="1:4" x14ac:dyDescent="0.55000000000000004">
      <c r="A865" t="s">
        <v>6</v>
      </c>
      <c r="D865" t="str">
        <f t="shared" ref="D865:D928" si="691">A865</f>
        <v xml:space="preserve">  },</v>
      </c>
    </row>
    <row r="866" spans="1:4" x14ac:dyDescent="0.55000000000000004">
      <c r="A866" t="s">
        <v>147</v>
      </c>
      <c r="D866" t="str">
        <f t="shared" si="691"/>
        <v xml:space="preserve">  "12-14": {</v>
      </c>
    </row>
    <row r="867" spans="1:4" x14ac:dyDescent="0.55000000000000004">
      <c r="A867" t="s">
        <v>116</v>
      </c>
      <c r="B867">
        <f t="shared" ref="B867" si="692">_xlfn.NUMBERVALUE(RIGHT(A867,2))</f>
        <v>3</v>
      </c>
      <c r="D867" t="str">
        <f t="shared" ref="D867:D930" si="693">A867&amp;","</f>
        <v xml:space="preserve">    "resultPage": 3,</v>
      </c>
    </row>
    <row r="868" spans="1:4" x14ac:dyDescent="0.55000000000000004">
      <c r="A868" t="s">
        <v>763</v>
      </c>
      <c r="B868" t="str">
        <f>VLOOKUP(B867,Tabelle3!$A$2:$E$33,3,FALSE)</f>
        <v>Swinging High</v>
      </c>
      <c r="C868" t="s">
        <v>762</v>
      </c>
      <c r="D868" t="str">
        <f t="shared" ref="D868" si="694">_xlfn.CONCAT(A868:C868)</f>
        <v xml:space="preserve">    "message":  "Swinging High",</v>
      </c>
    </row>
    <row r="869" spans="1:4" x14ac:dyDescent="0.55000000000000004">
      <c r="A869" t="s">
        <v>764</v>
      </c>
      <c r="B869" t="str">
        <f>VLOOKUP(B867,Tabelle3!$A$2:$E$33,5,FALSE)</f>
        <v>No Red</v>
      </c>
      <c r="C869" t="s">
        <v>762</v>
      </c>
      <c r="D869" t="str">
        <f t="shared" si="649"/>
        <v xml:space="preserve">    "nextInstruction":  "No Red",</v>
      </c>
    </row>
    <row r="870" spans="1:4" x14ac:dyDescent="0.55000000000000004">
      <c r="A870" t="s">
        <v>765</v>
      </c>
      <c r="B870" t="str">
        <f>VLOOKUP(B867,Tabelle3!$A$2:$E$33,4,FALSE)</f>
        <v>""</v>
      </c>
      <c r="D870" t="str">
        <f t="shared" ref="D870:D933" si="695">IF(ISNUMBER(B870),(A870&amp;B870),"")</f>
        <v/>
      </c>
    </row>
    <row r="871" spans="1:4" x14ac:dyDescent="0.55000000000000004">
      <c r="A871" t="s">
        <v>6</v>
      </c>
      <c r="D871" t="str">
        <f t="shared" ref="D871:D934" si="696">A871</f>
        <v xml:space="preserve">  },</v>
      </c>
    </row>
    <row r="872" spans="1:4" x14ac:dyDescent="0.55000000000000004">
      <c r="A872" t="s">
        <v>148</v>
      </c>
      <c r="D872" t="str">
        <f t="shared" si="696"/>
        <v xml:space="preserve">  "12-16": {</v>
      </c>
    </row>
    <row r="873" spans="1:4" x14ac:dyDescent="0.55000000000000004">
      <c r="A873" t="s">
        <v>15</v>
      </c>
      <c r="B873">
        <f t="shared" ref="B873" si="697">_xlfn.NUMBERVALUE(RIGHT(A873,2))</f>
        <v>57</v>
      </c>
      <c r="D873" t="str">
        <f t="shared" ref="D873:D936" si="698">A873&amp;","</f>
        <v xml:space="preserve">    "resultPage": 57,</v>
      </c>
    </row>
    <row r="874" spans="1:4" x14ac:dyDescent="0.55000000000000004">
      <c r="A874" t="s">
        <v>763</v>
      </c>
      <c r="B874" t="str">
        <f>VLOOKUP(B873,Tabelle3!$A$2:$E$33,3,FALSE)</f>
        <v>Extended Range Blocking</v>
      </c>
      <c r="C874" t="s">
        <v>762</v>
      </c>
      <c r="D874" t="str">
        <f t="shared" ref="D874" si="699">_xlfn.CONCAT(A874:C874)</f>
        <v xml:space="preserve">    "message":  "Extended Range Blocking",</v>
      </c>
    </row>
    <row r="875" spans="1:4" x14ac:dyDescent="0.55000000000000004">
      <c r="A875" t="s">
        <v>764</v>
      </c>
      <c r="B875" t="str">
        <f>VLOOKUP(B873,Tabelle3!$A$2:$E$33,5,FALSE)</f>
        <v>Only Extended Range</v>
      </c>
      <c r="C875" t="s">
        <v>762</v>
      </c>
      <c r="D875" t="str">
        <f t="shared" si="649"/>
        <v xml:space="preserve">    "nextInstruction":  "Only Extended Range",</v>
      </c>
    </row>
    <row r="876" spans="1:4" x14ac:dyDescent="0.55000000000000004">
      <c r="A876" t="s">
        <v>765</v>
      </c>
      <c r="B876" t="str">
        <f>VLOOKUP(B873,Tabelle3!$A$2:$E$33,4,FALSE)</f>
        <v>""</v>
      </c>
      <c r="D876" t="str">
        <f t="shared" ref="D876:D939" si="700">IF(ISNUMBER(B876),(A876&amp;B876),"")</f>
        <v/>
      </c>
    </row>
    <row r="877" spans="1:4" x14ac:dyDescent="0.55000000000000004">
      <c r="A877" t="s">
        <v>6</v>
      </c>
      <c r="D877" t="str">
        <f t="shared" ref="D877:D940" si="701">A877</f>
        <v xml:space="preserve">  },</v>
      </c>
    </row>
    <row r="878" spans="1:4" x14ac:dyDescent="0.55000000000000004">
      <c r="A878" t="s">
        <v>149</v>
      </c>
      <c r="D878" t="str">
        <f t="shared" si="701"/>
        <v xml:space="preserve">  "12-18": {</v>
      </c>
    </row>
    <row r="879" spans="1:4" x14ac:dyDescent="0.55000000000000004">
      <c r="A879" t="s">
        <v>116</v>
      </c>
      <c r="B879">
        <f t="shared" ref="B879" si="702">_xlfn.NUMBERVALUE(RIGHT(A879,2))</f>
        <v>3</v>
      </c>
      <c r="D879" t="str">
        <f t="shared" ref="D879:D942" si="703">A879&amp;","</f>
        <v xml:space="preserve">    "resultPage": 3,</v>
      </c>
    </row>
    <row r="880" spans="1:4" x14ac:dyDescent="0.55000000000000004">
      <c r="A880" t="s">
        <v>763</v>
      </c>
      <c r="B880" t="str">
        <f>VLOOKUP(B879,Tabelle3!$A$2:$E$33,3,FALSE)</f>
        <v>Swinging High</v>
      </c>
      <c r="C880" t="s">
        <v>762</v>
      </c>
      <c r="D880" t="str">
        <f t="shared" ref="D880:D941" si="704">_xlfn.CONCAT(A880:C880)</f>
        <v xml:space="preserve">    "message":  "Swinging High",</v>
      </c>
    </row>
    <row r="881" spans="1:4" x14ac:dyDescent="0.55000000000000004">
      <c r="A881" t="s">
        <v>764</v>
      </c>
      <c r="B881" t="str">
        <f>VLOOKUP(B879,Tabelle3!$A$2:$E$33,5,FALSE)</f>
        <v>No Red</v>
      </c>
      <c r="C881" t="s">
        <v>762</v>
      </c>
      <c r="D881" t="str">
        <f t="shared" si="704"/>
        <v xml:space="preserve">    "nextInstruction":  "No Red",</v>
      </c>
    </row>
    <row r="882" spans="1:4" x14ac:dyDescent="0.55000000000000004">
      <c r="A882" t="s">
        <v>765</v>
      </c>
      <c r="B882" t="str">
        <f>VLOOKUP(B879,Tabelle3!$A$2:$E$33,4,FALSE)</f>
        <v>""</v>
      </c>
      <c r="D882" t="str">
        <f t="shared" ref="D882:D945" si="705">IF(ISNUMBER(B882),(A882&amp;B882),"")</f>
        <v/>
      </c>
    </row>
    <row r="883" spans="1:4" x14ac:dyDescent="0.55000000000000004">
      <c r="A883" t="s">
        <v>6</v>
      </c>
      <c r="D883" t="str">
        <f t="shared" ref="D883:D946" si="706">A883</f>
        <v xml:space="preserve">  },</v>
      </c>
    </row>
    <row r="884" spans="1:4" x14ac:dyDescent="0.55000000000000004">
      <c r="A884" t="s">
        <v>150</v>
      </c>
      <c r="D884" t="str">
        <f t="shared" si="706"/>
        <v xml:space="preserve">  "12-20": {</v>
      </c>
    </row>
    <row r="885" spans="1:4" x14ac:dyDescent="0.55000000000000004">
      <c r="A885" t="s">
        <v>116</v>
      </c>
      <c r="B885">
        <f t="shared" ref="B885" si="707">_xlfn.NUMBERVALUE(RIGHT(A885,2))</f>
        <v>3</v>
      </c>
      <c r="D885" t="str">
        <f t="shared" ref="D885:D948" si="708">A885&amp;","</f>
        <v xml:space="preserve">    "resultPage": 3,</v>
      </c>
    </row>
    <row r="886" spans="1:4" x14ac:dyDescent="0.55000000000000004">
      <c r="A886" t="s">
        <v>763</v>
      </c>
      <c r="B886" t="str">
        <f>VLOOKUP(B885,Tabelle3!$A$2:$E$33,3,FALSE)</f>
        <v>Swinging High</v>
      </c>
      <c r="C886" t="s">
        <v>762</v>
      </c>
      <c r="D886" t="str">
        <f t="shared" ref="D886" si="709">_xlfn.CONCAT(A886:C886)</f>
        <v xml:space="preserve">    "message":  "Swinging High",</v>
      </c>
    </row>
    <row r="887" spans="1:4" x14ac:dyDescent="0.55000000000000004">
      <c r="A887" t="s">
        <v>764</v>
      </c>
      <c r="B887" t="str">
        <f>VLOOKUP(B885,Tabelle3!$A$2:$E$33,5,FALSE)</f>
        <v>No Red</v>
      </c>
      <c r="C887" t="s">
        <v>762</v>
      </c>
      <c r="D887" t="str">
        <f t="shared" si="704"/>
        <v xml:space="preserve">    "nextInstruction":  "No Red",</v>
      </c>
    </row>
    <row r="888" spans="1:4" x14ac:dyDescent="0.55000000000000004">
      <c r="A888" t="s">
        <v>765</v>
      </c>
      <c r="B888" t="str">
        <f>VLOOKUP(B885,Tabelle3!$A$2:$E$33,4,FALSE)</f>
        <v>""</v>
      </c>
      <c r="D888" t="str">
        <f t="shared" ref="D888:D951" si="710">IF(ISNUMBER(B888),(A888&amp;B888),"")</f>
        <v/>
      </c>
    </row>
    <row r="889" spans="1:4" x14ac:dyDescent="0.55000000000000004">
      <c r="A889" t="s">
        <v>6</v>
      </c>
      <c r="D889" t="str">
        <f t="shared" ref="D889:D952" si="711">A889</f>
        <v xml:space="preserve">  },</v>
      </c>
    </row>
    <row r="890" spans="1:4" x14ac:dyDescent="0.55000000000000004">
      <c r="A890" t="s">
        <v>151</v>
      </c>
      <c r="D890" t="str">
        <f t="shared" si="711"/>
        <v xml:space="preserve">  "12-22": {</v>
      </c>
    </row>
    <row r="891" spans="1:4" x14ac:dyDescent="0.55000000000000004">
      <c r="A891" t="s">
        <v>116</v>
      </c>
      <c r="B891">
        <f t="shared" ref="B891" si="712">_xlfn.NUMBERVALUE(RIGHT(A891,2))</f>
        <v>3</v>
      </c>
      <c r="D891" t="str">
        <f t="shared" ref="D891:D954" si="713">A891&amp;","</f>
        <v xml:space="preserve">    "resultPage": 3,</v>
      </c>
    </row>
    <row r="892" spans="1:4" x14ac:dyDescent="0.55000000000000004">
      <c r="A892" t="s">
        <v>763</v>
      </c>
      <c r="B892" t="str">
        <f>VLOOKUP(B891,Tabelle3!$A$2:$E$33,3,FALSE)</f>
        <v>Swinging High</v>
      </c>
      <c r="C892" t="s">
        <v>762</v>
      </c>
      <c r="D892" t="str">
        <f t="shared" ref="D892" si="714">_xlfn.CONCAT(A892:C892)</f>
        <v xml:space="preserve">    "message":  "Swinging High",</v>
      </c>
    </row>
    <row r="893" spans="1:4" x14ac:dyDescent="0.55000000000000004">
      <c r="A893" t="s">
        <v>764</v>
      </c>
      <c r="B893" t="str">
        <f>VLOOKUP(B891,Tabelle3!$A$2:$E$33,5,FALSE)</f>
        <v>No Red</v>
      </c>
      <c r="C893" t="s">
        <v>762</v>
      </c>
      <c r="D893" t="str">
        <f t="shared" si="704"/>
        <v xml:space="preserve">    "nextInstruction":  "No Red",</v>
      </c>
    </row>
    <row r="894" spans="1:4" x14ac:dyDescent="0.55000000000000004">
      <c r="A894" t="s">
        <v>765</v>
      </c>
      <c r="B894" t="str">
        <f>VLOOKUP(B891,Tabelle3!$A$2:$E$33,4,FALSE)</f>
        <v>""</v>
      </c>
      <c r="D894" t="str">
        <f t="shared" ref="D894:D957" si="715">IF(ISNUMBER(B894),(A894&amp;B894),"")</f>
        <v/>
      </c>
    </row>
    <row r="895" spans="1:4" x14ac:dyDescent="0.55000000000000004">
      <c r="A895" t="s">
        <v>6</v>
      </c>
      <c r="D895" t="str">
        <f t="shared" ref="D895:D958" si="716">A895</f>
        <v xml:space="preserve">  },</v>
      </c>
    </row>
    <row r="896" spans="1:4" x14ac:dyDescent="0.55000000000000004">
      <c r="A896" t="s">
        <v>152</v>
      </c>
      <c r="D896" t="str">
        <f t="shared" si="716"/>
        <v xml:space="preserve">  "12-24": {</v>
      </c>
    </row>
    <row r="897" spans="1:4" x14ac:dyDescent="0.55000000000000004">
      <c r="A897" t="s">
        <v>76</v>
      </c>
      <c r="B897">
        <f t="shared" ref="B897" si="717">_xlfn.NUMBERVALUE(RIGHT(A897,2))</f>
        <v>45</v>
      </c>
      <c r="D897" t="str">
        <f t="shared" ref="D897:D960" si="718">A897&amp;","</f>
        <v xml:space="preserve">    "resultPage": 45,</v>
      </c>
    </row>
    <row r="898" spans="1:4" x14ac:dyDescent="0.55000000000000004">
      <c r="A898" t="s">
        <v>763</v>
      </c>
      <c r="B898" t="str">
        <f>VLOOKUP(B897,Tabelle3!$A$2:$E$33,3,FALSE)</f>
        <v>Parrying High</v>
      </c>
      <c r="C898" t="s">
        <v>762</v>
      </c>
      <c r="D898" t="str">
        <f t="shared" ref="D898" si="719">_xlfn.CONCAT(A898:C898)</f>
        <v xml:space="preserve">    "message":  "Parrying High",</v>
      </c>
    </row>
    <row r="899" spans="1:4" x14ac:dyDescent="0.55000000000000004">
      <c r="A899" t="s">
        <v>764</v>
      </c>
      <c r="B899" t="str">
        <f>VLOOKUP(B897,Tabelle3!$A$2:$E$33,5,FALSE)</f>
        <v/>
      </c>
      <c r="C899" t="s">
        <v>762</v>
      </c>
      <c r="D899" t="str">
        <f t="shared" si="704"/>
        <v xml:space="preserve">    "nextInstruction":  "",</v>
      </c>
    </row>
    <row r="900" spans="1:4" x14ac:dyDescent="0.55000000000000004">
      <c r="A900" t="s">
        <v>765</v>
      </c>
      <c r="B900">
        <f>VLOOKUP(B897,Tabelle3!$A$2:$E$33,4,FALSE)</f>
        <v>-4</v>
      </c>
      <c r="D900" t="str">
        <f t="shared" ref="D900:D963" si="720">IF(ISNUMBER(B900),(A900&amp;B900),"")</f>
        <v xml:space="preserve">    "damageModifier": -4</v>
      </c>
    </row>
    <row r="901" spans="1:4" x14ac:dyDescent="0.55000000000000004">
      <c r="A901" t="s">
        <v>6</v>
      </c>
      <c r="D901" t="str">
        <f t="shared" ref="D901:D964" si="721">A901</f>
        <v xml:space="preserve">  },</v>
      </c>
    </row>
    <row r="902" spans="1:4" x14ac:dyDescent="0.55000000000000004">
      <c r="A902" t="s">
        <v>153</v>
      </c>
      <c r="D902" t="str">
        <f t="shared" si="721"/>
        <v xml:space="preserve">  "12-26": {</v>
      </c>
    </row>
    <row r="903" spans="1:4" x14ac:dyDescent="0.55000000000000004">
      <c r="A903" t="s">
        <v>35</v>
      </c>
      <c r="B903">
        <f t="shared" ref="B903" si="722">_xlfn.NUMBERVALUE(RIGHT(A903,2))</f>
        <v>59</v>
      </c>
      <c r="D903" t="str">
        <f t="shared" ref="D903:D966" si="723">A903&amp;","</f>
        <v xml:space="preserve">    "resultPage": 59,</v>
      </c>
    </row>
    <row r="904" spans="1:4" x14ac:dyDescent="0.55000000000000004">
      <c r="A904" t="s">
        <v>763</v>
      </c>
      <c r="B904" t="str">
        <f>VLOOKUP(B903,Tabelle3!$A$2:$E$33,3,FALSE)</f>
        <v>Pushed off Balance</v>
      </c>
      <c r="C904" t="s">
        <v>762</v>
      </c>
      <c r="D904" t="str">
        <f t="shared" ref="D904" si="724">_xlfn.CONCAT(A904:C904)</f>
        <v xml:space="preserve">    "message":  "Pushed off Balance",</v>
      </c>
    </row>
    <row r="905" spans="1:4" x14ac:dyDescent="0.55000000000000004">
      <c r="A905" t="s">
        <v>764</v>
      </c>
      <c r="B905" t="str">
        <f>VLOOKUP(B903,Tabelle3!$A$2:$E$33,5,FALSE)</f>
        <v>Only Green Only Yellow</v>
      </c>
      <c r="C905" t="s">
        <v>762</v>
      </c>
      <c r="D905" t="str">
        <f t="shared" si="704"/>
        <v xml:space="preserve">    "nextInstruction":  "Only Green Only Yellow",</v>
      </c>
    </row>
    <row r="906" spans="1:4" x14ac:dyDescent="0.55000000000000004">
      <c r="A906" t="s">
        <v>765</v>
      </c>
      <c r="B906">
        <f>VLOOKUP(B903,Tabelle3!$A$2:$E$33,4,FALSE)</f>
        <v>0</v>
      </c>
      <c r="D906" t="str">
        <f t="shared" ref="D906:D969" si="725">IF(ISNUMBER(B906),(A906&amp;B906),"")</f>
        <v xml:space="preserve">    "damageModifier": 0</v>
      </c>
    </row>
    <row r="907" spans="1:4" x14ac:dyDescent="0.55000000000000004">
      <c r="A907" t="s">
        <v>6</v>
      </c>
      <c r="D907" t="str">
        <f t="shared" ref="D907:D970" si="726">A907</f>
        <v xml:space="preserve">  },</v>
      </c>
    </row>
    <row r="908" spans="1:4" x14ac:dyDescent="0.55000000000000004">
      <c r="A908" t="s">
        <v>154</v>
      </c>
      <c r="D908" t="str">
        <f t="shared" si="726"/>
        <v xml:space="preserve">  "12-28": {</v>
      </c>
    </row>
    <row r="909" spans="1:4" x14ac:dyDescent="0.55000000000000004">
      <c r="A909" t="s">
        <v>20</v>
      </c>
      <c r="B909">
        <f t="shared" ref="B909" si="727">_xlfn.NUMBERVALUE(RIGHT(A909,2))</f>
        <v>53</v>
      </c>
      <c r="D909" t="str">
        <f t="shared" ref="D909:D972" si="728">A909&amp;","</f>
        <v xml:space="preserve">    "resultPage": 53,</v>
      </c>
    </row>
    <row r="910" spans="1:4" x14ac:dyDescent="0.55000000000000004">
      <c r="A910" t="s">
        <v>763</v>
      </c>
      <c r="B910" t="str">
        <f>VLOOKUP(B909,Tabelle3!$A$2:$E$33,3,FALSE)</f>
        <v>Body Wound</v>
      </c>
      <c r="C910" t="s">
        <v>762</v>
      </c>
      <c r="D910" t="str">
        <f t="shared" ref="D910" si="729">_xlfn.CONCAT(A910:C910)</f>
        <v xml:space="preserve">    "message":  "Body Wound",</v>
      </c>
    </row>
    <row r="911" spans="1:4" x14ac:dyDescent="0.55000000000000004">
      <c r="A911" t="s">
        <v>764</v>
      </c>
      <c r="B911" t="str">
        <f>VLOOKUP(B909,Tabelle3!$A$2:$E$33,5,FALSE)</f>
        <v>No Red No Orange</v>
      </c>
      <c r="C911" t="s">
        <v>762</v>
      </c>
      <c r="D911" t="str">
        <f t="shared" si="704"/>
        <v xml:space="preserve">    "nextInstruction":  "No Red No Orange",</v>
      </c>
    </row>
    <row r="912" spans="1:4" x14ac:dyDescent="0.55000000000000004">
      <c r="A912" t="s">
        <v>765</v>
      </c>
      <c r="B912">
        <f>VLOOKUP(B909,Tabelle3!$A$2:$E$33,4,FALSE)</f>
        <v>5</v>
      </c>
      <c r="D912" t="str">
        <f t="shared" ref="D912:D975" si="730">IF(ISNUMBER(B912),(A912&amp;B912),"")</f>
        <v xml:space="preserve">    "damageModifier": 5</v>
      </c>
    </row>
    <row r="913" spans="1:4" x14ac:dyDescent="0.55000000000000004">
      <c r="A913" t="s">
        <v>6</v>
      </c>
      <c r="D913" t="str">
        <f t="shared" ref="D913:D976" si="731">A913</f>
        <v xml:space="preserve">  },</v>
      </c>
    </row>
    <row r="914" spans="1:4" x14ac:dyDescent="0.55000000000000004">
      <c r="A914" t="s">
        <v>155</v>
      </c>
      <c r="D914" t="str">
        <f t="shared" si="731"/>
        <v xml:space="preserve">  "12-30": {</v>
      </c>
    </row>
    <row r="915" spans="1:4" x14ac:dyDescent="0.55000000000000004">
      <c r="A915" t="s">
        <v>116</v>
      </c>
      <c r="B915">
        <f t="shared" ref="B915" si="732">_xlfn.NUMBERVALUE(RIGHT(A915,2))</f>
        <v>3</v>
      </c>
      <c r="D915" t="str">
        <f t="shared" ref="D915:D978" si="733">A915&amp;","</f>
        <v xml:space="preserve">    "resultPage": 3,</v>
      </c>
    </row>
    <row r="916" spans="1:4" x14ac:dyDescent="0.55000000000000004">
      <c r="A916" t="s">
        <v>763</v>
      </c>
      <c r="B916" t="str">
        <f>VLOOKUP(B915,Tabelle3!$A$2:$E$33,3,FALSE)</f>
        <v>Swinging High</v>
      </c>
      <c r="C916" t="s">
        <v>762</v>
      </c>
      <c r="D916" t="str">
        <f t="shared" ref="D916" si="734">_xlfn.CONCAT(A916:C916)</f>
        <v xml:space="preserve">    "message":  "Swinging High",</v>
      </c>
    </row>
    <row r="917" spans="1:4" x14ac:dyDescent="0.55000000000000004">
      <c r="A917" t="s">
        <v>764</v>
      </c>
      <c r="B917" t="str">
        <f>VLOOKUP(B915,Tabelle3!$A$2:$E$33,5,FALSE)</f>
        <v>No Red</v>
      </c>
      <c r="C917" t="s">
        <v>762</v>
      </c>
      <c r="D917" t="str">
        <f t="shared" si="704"/>
        <v xml:space="preserve">    "nextInstruction":  "No Red",</v>
      </c>
    </row>
    <row r="918" spans="1:4" x14ac:dyDescent="0.55000000000000004">
      <c r="A918" t="s">
        <v>765</v>
      </c>
      <c r="B918" t="str">
        <f>VLOOKUP(B915,Tabelle3!$A$2:$E$33,4,FALSE)</f>
        <v>""</v>
      </c>
      <c r="D918" t="str">
        <f t="shared" ref="D918:D981" si="735">IF(ISNUMBER(B918),(A918&amp;B918),"")</f>
        <v/>
      </c>
    </row>
    <row r="919" spans="1:4" x14ac:dyDescent="0.55000000000000004">
      <c r="A919" t="s">
        <v>6</v>
      </c>
      <c r="D919" t="str">
        <f t="shared" ref="D919:D982" si="736">A919</f>
        <v xml:space="preserve">  },</v>
      </c>
    </row>
    <row r="920" spans="1:4" x14ac:dyDescent="0.55000000000000004">
      <c r="A920" t="s">
        <v>156</v>
      </c>
      <c r="D920" t="str">
        <f t="shared" si="736"/>
        <v xml:space="preserve">  "12-32": {</v>
      </c>
    </row>
    <row r="921" spans="1:4" x14ac:dyDescent="0.55000000000000004">
      <c r="A921" t="s">
        <v>76</v>
      </c>
      <c r="B921">
        <f t="shared" ref="B921" si="737">_xlfn.NUMBERVALUE(RIGHT(A921,2))</f>
        <v>45</v>
      </c>
      <c r="D921" t="str">
        <f t="shared" ref="D921:D984" si="738">A921&amp;","</f>
        <v xml:space="preserve">    "resultPage": 45,</v>
      </c>
    </row>
    <row r="922" spans="1:4" x14ac:dyDescent="0.55000000000000004">
      <c r="A922" t="s">
        <v>763</v>
      </c>
      <c r="B922" t="str">
        <f>VLOOKUP(B921,Tabelle3!$A$2:$E$33,3,FALSE)</f>
        <v>Parrying High</v>
      </c>
      <c r="C922" t="s">
        <v>762</v>
      </c>
      <c r="D922" t="str">
        <f t="shared" ref="D922" si="739">_xlfn.CONCAT(A922:C922)</f>
        <v xml:space="preserve">    "message":  "Parrying High",</v>
      </c>
    </row>
    <row r="923" spans="1:4" x14ac:dyDescent="0.55000000000000004">
      <c r="A923" t="s">
        <v>764</v>
      </c>
      <c r="B923" t="str">
        <f>VLOOKUP(B921,Tabelle3!$A$2:$E$33,5,FALSE)</f>
        <v/>
      </c>
      <c r="C923" t="s">
        <v>762</v>
      </c>
      <c r="D923" t="str">
        <f t="shared" si="704"/>
        <v xml:space="preserve">    "nextInstruction":  "",</v>
      </c>
    </row>
    <row r="924" spans="1:4" x14ac:dyDescent="0.55000000000000004">
      <c r="A924" t="s">
        <v>765</v>
      </c>
      <c r="B924">
        <f>VLOOKUP(B921,Tabelle3!$A$2:$E$33,4,FALSE)</f>
        <v>-4</v>
      </c>
      <c r="D924" t="str">
        <f t="shared" ref="D924:D987" si="740">IF(ISNUMBER(B924),(A924&amp;B924),"")</f>
        <v xml:space="preserve">    "damageModifier": -4</v>
      </c>
    </row>
    <row r="925" spans="1:4" x14ac:dyDescent="0.55000000000000004">
      <c r="A925" t="s">
        <v>6</v>
      </c>
      <c r="D925" t="str">
        <f t="shared" ref="D925:D988" si="741">A925</f>
        <v xml:space="preserve">  },</v>
      </c>
    </row>
    <row r="926" spans="1:4" x14ac:dyDescent="0.55000000000000004">
      <c r="A926" t="s">
        <v>157</v>
      </c>
      <c r="D926" t="str">
        <f t="shared" si="741"/>
        <v xml:space="preserve">  "12-34": {</v>
      </c>
    </row>
    <row r="927" spans="1:4" x14ac:dyDescent="0.55000000000000004">
      <c r="A927" t="s">
        <v>116</v>
      </c>
      <c r="B927">
        <f t="shared" ref="B927" si="742">_xlfn.NUMBERVALUE(RIGHT(A927,2))</f>
        <v>3</v>
      </c>
      <c r="D927" t="str">
        <f t="shared" ref="D927:D990" si="743">A927&amp;","</f>
        <v xml:space="preserve">    "resultPage": 3,</v>
      </c>
    </row>
    <row r="928" spans="1:4" x14ac:dyDescent="0.55000000000000004">
      <c r="A928" t="s">
        <v>763</v>
      </c>
      <c r="B928" t="str">
        <f>VLOOKUP(B927,Tabelle3!$A$2:$E$33,3,FALSE)</f>
        <v>Swinging High</v>
      </c>
      <c r="C928" t="s">
        <v>762</v>
      </c>
      <c r="D928" t="str">
        <f t="shared" ref="D928" si="744">_xlfn.CONCAT(A928:C928)</f>
        <v xml:space="preserve">    "message":  "Swinging High",</v>
      </c>
    </row>
    <row r="929" spans="1:4" x14ac:dyDescent="0.55000000000000004">
      <c r="A929" t="s">
        <v>764</v>
      </c>
      <c r="B929" t="str">
        <f>VLOOKUP(B927,Tabelle3!$A$2:$E$33,5,FALSE)</f>
        <v>No Red</v>
      </c>
      <c r="C929" t="s">
        <v>762</v>
      </c>
      <c r="D929" t="str">
        <f t="shared" si="704"/>
        <v xml:space="preserve">    "nextInstruction":  "No Red",</v>
      </c>
    </row>
    <row r="930" spans="1:4" x14ac:dyDescent="0.55000000000000004">
      <c r="A930" t="s">
        <v>765</v>
      </c>
      <c r="B930" t="str">
        <f>VLOOKUP(B927,Tabelle3!$A$2:$E$33,4,FALSE)</f>
        <v>""</v>
      </c>
      <c r="D930" t="str">
        <f t="shared" ref="D930:D993" si="745">IF(ISNUMBER(B930),(A930&amp;B930),"")</f>
        <v/>
      </c>
    </row>
    <row r="931" spans="1:4" x14ac:dyDescent="0.55000000000000004">
      <c r="A931" t="s">
        <v>6</v>
      </c>
      <c r="D931" t="str">
        <f t="shared" ref="D931:D994" si="746">A931</f>
        <v xml:space="preserve">  },</v>
      </c>
    </row>
    <row r="932" spans="1:4" x14ac:dyDescent="0.55000000000000004">
      <c r="A932" t="s">
        <v>158</v>
      </c>
      <c r="D932" t="str">
        <f t="shared" si="746"/>
        <v xml:space="preserve">  "12-36": {</v>
      </c>
    </row>
    <row r="933" spans="1:4" x14ac:dyDescent="0.55000000000000004">
      <c r="A933" t="s">
        <v>116</v>
      </c>
      <c r="B933">
        <f t="shared" ref="B933" si="747">_xlfn.NUMBERVALUE(RIGHT(A933,2))</f>
        <v>3</v>
      </c>
      <c r="D933" t="str">
        <f t="shared" ref="D933:D996" si="748">A933&amp;","</f>
        <v xml:space="preserve">    "resultPage": 3,</v>
      </c>
    </row>
    <row r="934" spans="1:4" x14ac:dyDescent="0.55000000000000004">
      <c r="A934" t="s">
        <v>763</v>
      </c>
      <c r="B934" t="str">
        <f>VLOOKUP(B933,Tabelle3!$A$2:$E$33,3,FALSE)</f>
        <v>Swinging High</v>
      </c>
      <c r="C934" t="s">
        <v>762</v>
      </c>
      <c r="D934" t="str">
        <f t="shared" ref="D934" si="749">_xlfn.CONCAT(A934:C934)</f>
        <v xml:space="preserve">    "message":  "Swinging High",</v>
      </c>
    </row>
    <row r="935" spans="1:4" x14ac:dyDescent="0.55000000000000004">
      <c r="A935" t="s">
        <v>764</v>
      </c>
      <c r="B935" t="str">
        <f>VLOOKUP(B933,Tabelle3!$A$2:$E$33,5,FALSE)</f>
        <v>No Red</v>
      </c>
      <c r="C935" t="s">
        <v>762</v>
      </c>
      <c r="D935" t="str">
        <f t="shared" si="704"/>
        <v xml:space="preserve">    "nextInstruction":  "No Red",</v>
      </c>
    </row>
    <row r="936" spans="1:4" x14ac:dyDescent="0.55000000000000004">
      <c r="A936" t="s">
        <v>765</v>
      </c>
      <c r="B936" t="str">
        <f>VLOOKUP(B933,Tabelle3!$A$2:$E$33,4,FALSE)</f>
        <v>""</v>
      </c>
      <c r="D936" t="str">
        <f t="shared" ref="D936:D999" si="750">IF(ISNUMBER(B936),(A936&amp;B936),"")</f>
        <v/>
      </c>
    </row>
    <row r="937" spans="1:4" x14ac:dyDescent="0.55000000000000004">
      <c r="A937" t="s">
        <v>6</v>
      </c>
      <c r="D937" t="str">
        <f t="shared" ref="D937:D1000" si="751">A937</f>
        <v xml:space="preserve">  },</v>
      </c>
    </row>
    <row r="938" spans="1:4" x14ac:dyDescent="0.55000000000000004">
      <c r="A938" t="s">
        <v>159</v>
      </c>
      <c r="D938" t="str">
        <f t="shared" si="751"/>
        <v xml:space="preserve">  "12-38": {</v>
      </c>
    </row>
    <row r="939" spans="1:4" x14ac:dyDescent="0.55000000000000004">
      <c r="A939" t="s">
        <v>76</v>
      </c>
      <c r="B939">
        <f t="shared" ref="B939" si="752">_xlfn.NUMBERVALUE(RIGHT(A939,2))</f>
        <v>45</v>
      </c>
      <c r="D939" t="str">
        <f t="shared" ref="D939:D1002" si="753">A939&amp;","</f>
        <v xml:space="preserve">    "resultPage": 45,</v>
      </c>
    </row>
    <row r="940" spans="1:4" x14ac:dyDescent="0.55000000000000004">
      <c r="A940" t="s">
        <v>763</v>
      </c>
      <c r="B940" t="str">
        <f>VLOOKUP(B939,Tabelle3!$A$2:$E$33,3,FALSE)</f>
        <v>Parrying High</v>
      </c>
      <c r="C940" t="s">
        <v>762</v>
      </c>
      <c r="D940" t="str">
        <f t="shared" ref="D940" si="754">_xlfn.CONCAT(A940:C940)</f>
        <v xml:space="preserve">    "message":  "Parrying High",</v>
      </c>
    </row>
    <row r="941" spans="1:4" x14ac:dyDescent="0.55000000000000004">
      <c r="A941" t="s">
        <v>764</v>
      </c>
      <c r="B941" t="str">
        <f>VLOOKUP(B939,Tabelle3!$A$2:$E$33,5,FALSE)</f>
        <v/>
      </c>
      <c r="C941" t="s">
        <v>762</v>
      </c>
      <c r="D941" t="str">
        <f t="shared" si="704"/>
        <v xml:space="preserve">    "nextInstruction":  "",</v>
      </c>
    </row>
    <row r="942" spans="1:4" x14ac:dyDescent="0.55000000000000004">
      <c r="A942" t="s">
        <v>765</v>
      </c>
      <c r="B942">
        <f>VLOOKUP(B939,Tabelle3!$A$2:$E$33,4,FALSE)</f>
        <v>-4</v>
      </c>
      <c r="D942" t="str">
        <f t="shared" ref="D942:D1005" si="755">IF(ISNUMBER(B942),(A942&amp;B942),"")</f>
        <v xml:space="preserve">    "damageModifier": -4</v>
      </c>
    </row>
    <row r="943" spans="1:4" x14ac:dyDescent="0.55000000000000004">
      <c r="A943" t="s">
        <v>6</v>
      </c>
      <c r="D943" t="str">
        <f t="shared" ref="D943:D1006" si="756">A943</f>
        <v xml:space="preserve">  },</v>
      </c>
    </row>
    <row r="944" spans="1:4" x14ac:dyDescent="0.55000000000000004">
      <c r="A944" t="s">
        <v>160</v>
      </c>
      <c r="D944" t="str">
        <f t="shared" si="756"/>
        <v xml:space="preserve">  "12-40": {</v>
      </c>
    </row>
    <row r="945" spans="1:4" x14ac:dyDescent="0.55000000000000004">
      <c r="A945" t="s">
        <v>47</v>
      </c>
      <c r="B945">
        <f t="shared" ref="B945" si="757">_xlfn.NUMBERVALUE(RIGHT(A945,2))</f>
        <v>41</v>
      </c>
      <c r="D945" t="str">
        <f t="shared" ref="D945:D1008" si="758">A945&amp;","</f>
        <v xml:space="preserve">    "resultPage": 41,</v>
      </c>
    </row>
    <row r="946" spans="1:4" x14ac:dyDescent="0.55000000000000004">
      <c r="A946" t="s">
        <v>763</v>
      </c>
      <c r="B946" t="str">
        <f>VLOOKUP(B945,Tabelle3!$A$2:$E$33,3,FALSE)</f>
        <v>Knocked Down</v>
      </c>
      <c r="C946" t="s">
        <v>762</v>
      </c>
      <c r="D946" t="str">
        <f t="shared" ref="D946:D1007" si="759">_xlfn.CONCAT(A946:C946)</f>
        <v xml:space="preserve">    "message":  "Knocked Down",</v>
      </c>
    </row>
    <row r="947" spans="1:4" x14ac:dyDescent="0.55000000000000004">
      <c r="A947" t="s">
        <v>764</v>
      </c>
      <c r="B947" t="str">
        <f>VLOOKUP(B945,Tabelle3!$A$2:$E$33,5,FALSE)</f>
        <v>Only Yellow No Orange</v>
      </c>
      <c r="C947" t="s">
        <v>762</v>
      </c>
      <c r="D947" t="str">
        <f t="shared" si="759"/>
        <v xml:space="preserve">    "nextInstruction":  "Only Yellow No Orange",</v>
      </c>
    </row>
    <row r="948" spans="1:4" x14ac:dyDescent="0.55000000000000004">
      <c r="A948" t="s">
        <v>765</v>
      </c>
      <c r="B948">
        <f>VLOOKUP(B945,Tabelle3!$A$2:$E$33,4,FALSE)</f>
        <v>0</v>
      </c>
      <c r="D948" t="str">
        <f t="shared" ref="D948:D1011" si="760">IF(ISNUMBER(B948),(A948&amp;B948),"")</f>
        <v xml:space="preserve">    "damageModifier": 0</v>
      </c>
    </row>
    <row r="949" spans="1:4" x14ac:dyDescent="0.55000000000000004">
      <c r="A949" t="s">
        <v>6</v>
      </c>
      <c r="D949" t="str">
        <f t="shared" ref="D949:D1012" si="761">A949</f>
        <v xml:space="preserve">  },</v>
      </c>
    </row>
    <row r="950" spans="1:4" x14ac:dyDescent="0.55000000000000004">
      <c r="A950" t="s">
        <v>161</v>
      </c>
      <c r="D950" t="str">
        <f t="shared" si="761"/>
        <v xml:space="preserve">  "12-42": {</v>
      </c>
    </row>
    <row r="951" spans="1:4" x14ac:dyDescent="0.55000000000000004">
      <c r="A951" t="s">
        <v>13</v>
      </c>
      <c r="B951">
        <f t="shared" ref="B951" si="762">_xlfn.NUMBERVALUE(RIGHT(A951,2))</f>
        <v>49</v>
      </c>
      <c r="D951" t="str">
        <f t="shared" ref="D951:D1014" si="763">A951&amp;","</f>
        <v xml:space="preserve">    "resultPage": 49,</v>
      </c>
    </row>
    <row r="952" spans="1:4" x14ac:dyDescent="0.55000000000000004">
      <c r="A952" t="s">
        <v>763</v>
      </c>
      <c r="B952" t="str">
        <f>VLOOKUP(B951,Tabelle3!$A$2:$E$33,3,FALSE)</f>
        <v>Parrying Low</v>
      </c>
      <c r="C952" t="s">
        <v>762</v>
      </c>
      <c r="D952" t="str">
        <f t="shared" ref="D952" si="764">_xlfn.CONCAT(A952:C952)</f>
        <v xml:space="preserve">    "message":  "Parrying Low",</v>
      </c>
    </row>
    <row r="953" spans="1:4" x14ac:dyDescent="0.55000000000000004">
      <c r="A953" t="s">
        <v>764</v>
      </c>
      <c r="B953" t="str">
        <f>VLOOKUP(B951,Tabelle3!$A$2:$E$33,5,FALSE)</f>
        <v/>
      </c>
      <c r="C953" t="s">
        <v>762</v>
      </c>
      <c r="D953" t="str">
        <f t="shared" si="759"/>
        <v xml:space="preserve">    "nextInstruction":  "",</v>
      </c>
    </row>
    <row r="954" spans="1:4" x14ac:dyDescent="0.55000000000000004">
      <c r="A954" t="s">
        <v>765</v>
      </c>
      <c r="B954">
        <f>VLOOKUP(B951,Tabelle3!$A$2:$E$33,4,FALSE)</f>
        <v>-4</v>
      </c>
      <c r="D954" t="str">
        <f t="shared" ref="D954:D1017" si="765">IF(ISNUMBER(B954),(A954&amp;B954),"")</f>
        <v xml:space="preserve">    "damageModifier": -4</v>
      </c>
    </row>
    <row r="955" spans="1:4" x14ac:dyDescent="0.55000000000000004">
      <c r="A955" t="s">
        <v>6</v>
      </c>
      <c r="D955" t="str">
        <f t="shared" ref="D955:D1018" si="766">A955</f>
        <v xml:space="preserve">  },</v>
      </c>
    </row>
    <row r="956" spans="1:4" x14ac:dyDescent="0.55000000000000004">
      <c r="A956" t="s">
        <v>162</v>
      </c>
      <c r="D956" t="str">
        <f t="shared" si="766"/>
        <v xml:space="preserve">  "12-44": {</v>
      </c>
    </row>
    <row r="957" spans="1:4" x14ac:dyDescent="0.55000000000000004">
      <c r="A957" t="s">
        <v>116</v>
      </c>
      <c r="B957">
        <f t="shared" ref="B957" si="767">_xlfn.NUMBERVALUE(RIGHT(A957,2))</f>
        <v>3</v>
      </c>
      <c r="D957" t="str">
        <f t="shared" ref="D957:D1020" si="768">A957&amp;","</f>
        <v xml:space="preserve">    "resultPage": 3,</v>
      </c>
    </row>
    <row r="958" spans="1:4" x14ac:dyDescent="0.55000000000000004">
      <c r="A958" t="s">
        <v>763</v>
      </c>
      <c r="B958" t="str">
        <f>VLOOKUP(B957,Tabelle3!$A$2:$E$33,3,FALSE)</f>
        <v>Swinging High</v>
      </c>
      <c r="C958" t="s">
        <v>762</v>
      </c>
      <c r="D958" t="str">
        <f t="shared" ref="D958" si="769">_xlfn.CONCAT(A958:C958)</f>
        <v xml:space="preserve">    "message":  "Swinging High",</v>
      </c>
    </row>
    <row r="959" spans="1:4" x14ac:dyDescent="0.55000000000000004">
      <c r="A959" t="s">
        <v>764</v>
      </c>
      <c r="B959" t="str">
        <f>VLOOKUP(B957,Tabelle3!$A$2:$E$33,5,FALSE)</f>
        <v>No Red</v>
      </c>
      <c r="C959" t="s">
        <v>762</v>
      </c>
      <c r="D959" t="str">
        <f t="shared" si="759"/>
        <v xml:space="preserve">    "nextInstruction":  "No Red",</v>
      </c>
    </row>
    <row r="960" spans="1:4" x14ac:dyDescent="0.55000000000000004">
      <c r="A960" t="s">
        <v>765</v>
      </c>
      <c r="B960" t="str">
        <f>VLOOKUP(B957,Tabelle3!$A$2:$E$33,4,FALSE)</f>
        <v>""</v>
      </c>
      <c r="D960" t="str">
        <f t="shared" ref="D960:D1023" si="770">IF(ISNUMBER(B960),(A960&amp;B960),"")</f>
        <v/>
      </c>
    </row>
    <row r="961" spans="1:4" x14ac:dyDescent="0.55000000000000004">
      <c r="A961" t="s">
        <v>6</v>
      </c>
      <c r="D961" t="str">
        <f t="shared" ref="D961:D1024" si="771">A961</f>
        <v xml:space="preserve">  },</v>
      </c>
    </row>
    <row r="962" spans="1:4" x14ac:dyDescent="0.55000000000000004">
      <c r="A962" t="s">
        <v>163</v>
      </c>
      <c r="D962" t="str">
        <f t="shared" si="771"/>
        <v xml:space="preserve">  "12-46": {</v>
      </c>
    </row>
    <row r="963" spans="1:4" x14ac:dyDescent="0.55000000000000004">
      <c r="A963" t="s">
        <v>116</v>
      </c>
      <c r="B963">
        <f t="shared" ref="B963" si="772">_xlfn.NUMBERVALUE(RIGHT(A963,2))</f>
        <v>3</v>
      </c>
      <c r="D963" t="str">
        <f t="shared" ref="D963:D1026" si="773">A963&amp;","</f>
        <v xml:space="preserve">    "resultPage": 3,</v>
      </c>
    </row>
    <row r="964" spans="1:4" x14ac:dyDescent="0.55000000000000004">
      <c r="A964" t="s">
        <v>763</v>
      </c>
      <c r="B964" t="str">
        <f>VLOOKUP(B963,Tabelle3!$A$2:$E$33,3,FALSE)</f>
        <v>Swinging High</v>
      </c>
      <c r="C964" t="s">
        <v>762</v>
      </c>
      <c r="D964" t="str">
        <f t="shared" ref="D964" si="774">_xlfn.CONCAT(A964:C964)</f>
        <v xml:space="preserve">    "message":  "Swinging High",</v>
      </c>
    </row>
    <row r="965" spans="1:4" x14ac:dyDescent="0.55000000000000004">
      <c r="A965" t="s">
        <v>764</v>
      </c>
      <c r="B965" t="str">
        <f>VLOOKUP(B963,Tabelle3!$A$2:$E$33,5,FALSE)</f>
        <v>No Red</v>
      </c>
      <c r="C965" t="s">
        <v>762</v>
      </c>
      <c r="D965" t="str">
        <f t="shared" si="759"/>
        <v xml:space="preserve">    "nextInstruction":  "No Red",</v>
      </c>
    </row>
    <row r="966" spans="1:4" x14ac:dyDescent="0.55000000000000004">
      <c r="A966" t="s">
        <v>765</v>
      </c>
      <c r="B966" t="str">
        <f>VLOOKUP(B963,Tabelle3!$A$2:$E$33,4,FALSE)</f>
        <v>""</v>
      </c>
      <c r="D966" t="str">
        <f t="shared" ref="D966:D1029" si="775">IF(ISNUMBER(B966),(A966&amp;B966),"")</f>
        <v/>
      </c>
    </row>
    <row r="967" spans="1:4" x14ac:dyDescent="0.55000000000000004">
      <c r="A967" t="s">
        <v>6</v>
      </c>
      <c r="D967" t="str">
        <f t="shared" ref="D967:D1030" si="776">A967</f>
        <v xml:space="preserve">  },</v>
      </c>
    </row>
    <row r="968" spans="1:4" x14ac:dyDescent="0.55000000000000004">
      <c r="A968" t="s">
        <v>164</v>
      </c>
      <c r="D968" t="str">
        <f t="shared" si="776"/>
        <v xml:space="preserve">  "12-48": {</v>
      </c>
    </row>
    <row r="969" spans="1:4" x14ac:dyDescent="0.55000000000000004">
      <c r="A969" t="s">
        <v>76</v>
      </c>
      <c r="B969">
        <f t="shared" ref="B969" si="777">_xlfn.NUMBERVALUE(RIGHT(A969,2))</f>
        <v>45</v>
      </c>
      <c r="D969" t="str">
        <f t="shared" ref="D969:D1032" si="778">A969&amp;","</f>
        <v xml:space="preserve">    "resultPage": 45,</v>
      </c>
    </row>
    <row r="970" spans="1:4" x14ac:dyDescent="0.55000000000000004">
      <c r="A970" t="s">
        <v>763</v>
      </c>
      <c r="B970" t="str">
        <f>VLOOKUP(B969,Tabelle3!$A$2:$E$33,3,FALSE)</f>
        <v>Parrying High</v>
      </c>
      <c r="C970" t="s">
        <v>762</v>
      </c>
      <c r="D970" t="str">
        <f t="shared" ref="D970" si="779">_xlfn.CONCAT(A970:C970)</f>
        <v xml:space="preserve">    "message":  "Parrying High",</v>
      </c>
    </row>
    <row r="971" spans="1:4" x14ac:dyDescent="0.55000000000000004">
      <c r="A971" t="s">
        <v>764</v>
      </c>
      <c r="B971" t="str">
        <f>VLOOKUP(B969,Tabelle3!$A$2:$E$33,5,FALSE)</f>
        <v/>
      </c>
      <c r="C971" t="s">
        <v>762</v>
      </c>
      <c r="D971" t="str">
        <f t="shared" si="759"/>
        <v xml:space="preserve">    "nextInstruction":  "",</v>
      </c>
    </row>
    <row r="972" spans="1:4" x14ac:dyDescent="0.55000000000000004">
      <c r="A972" t="s">
        <v>765</v>
      </c>
      <c r="B972">
        <f>VLOOKUP(B969,Tabelle3!$A$2:$E$33,4,FALSE)</f>
        <v>-4</v>
      </c>
      <c r="D972" t="str">
        <f t="shared" ref="D972:D1035" si="780">IF(ISNUMBER(B972),(A972&amp;B972),"")</f>
        <v xml:space="preserve">    "damageModifier": -4</v>
      </c>
    </row>
    <row r="973" spans="1:4" x14ac:dyDescent="0.55000000000000004">
      <c r="A973" t="s">
        <v>6</v>
      </c>
      <c r="D973" t="str">
        <f t="shared" ref="D973:D1036" si="781">A973</f>
        <v xml:space="preserve">  },</v>
      </c>
    </row>
    <row r="974" spans="1:4" x14ac:dyDescent="0.55000000000000004">
      <c r="A974" t="s">
        <v>165</v>
      </c>
      <c r="D974" t="str">
        <f t="shared" si="781"/>
        <v xml:space="preserve">  "14-4": {</v>
      </c>
    </row>
    <row r="975" spans="1:4" x14ac:dyDescent="0.55000000000000004">
      <c r="A975" t="s">
        <v>80</v>
      </c>
      <c r="B975">
        <f t="shared" ref="B975" si="782">_xlfn.NUMBERVALUE(RIGHT(A975,2))</f>
        <v>11</v>
      </c>
      <c r="D975" t="str">
        <f t="shared" ref="D975:D1038" si="783">A975&amp;","</f>
        <v xml:space="preserve">    "resultPage": 11,</v>
      </c>
    </row>
    <row r="976" spans="1:4" x14ac:dyDescent="0.55000000000000004">
      <c r="A976" t="s">
        <v>763</v>
      </c>
      <c r="B976" t="str">
        <f>VLOOKUP(B975,Tabelle3!$A$2:$E$33,3,FALSE)</f>
        <v>Thrusting Low</v>
      </c>
      <c r="C976" t="s">
        <v>762</v>
      </c>
      <c r="D976" t="str">
        <f t="shared" ref="D976" si="784">_xlfn.CONCAT(A976:C976)</f>
        <v xml:space="preserve">    "message":  "Thrusting Low",</v>
      </c>
    </row>
    <row r="977" spans="1:4" x14ac:dyDescent="0.55000000000000004">
      <c r="A977" t="s">
        <v>764</v>
      </c>
      <c r="B977" t="str">
        <f>VLOOKUP(B975,Tabelle3!$A$2:$E$33,5,FALSE)</f>
        <v>No Red</v>
      </c>
      <c r="C977" t="s">
        <v>762</v>
      </c>
      <c r="D977" t="str">
        <f t="shared" si="759"/>
        <v xml:space="preserve">    "nextInstruction":  "No Red",</v>
      </c>
    </row>
    <row r="978" spans="1:4" x14ac:dyDescent="0.55000000000000004">
      <c r="A978" t="s">
        <v>765</v>
      </c>
      <c r="B978" t="str">
        <f>VLOOKUP(B975,Tabelle3!$A$2:$E$33,4,FALSE)</f>
        <v>""</v>
      </c>
      <c r="D978" t="str">
        <f t="shared" ref="D978:D1041" si="785">IF(ISNUMBER(B978),(A978&amp;B978),"")</f>
        <v/>
      </c>
    </row>
    <row r="979" spans="1:4" x14ac:dyDescent="0.55000000000000004">
      <c r="A979" t="s">
        <v>6</v>
      </c>
      <c r="D979" t="str">
        <f t="shared" ref="D979:D1042" si="786">A979</f>
        <v xml:space="preserve">  },</v>
      </c>
    </row>
    <row r="980" spans="1:4" x14ac:dyDescent="0.55000000000000004">
      <c r="A980" t="s">
        <v>166</v>
      </c>
      <c r="D980" t="str">
        <f t="shared" si="786"/>
        <v xml:space="preserve">  "14-6": {</v>
      </c>
    </row>
    <row r="981" spans="1:4" x14ac:dyDescent="0.55000000000000004">
      <c r="A981" t="s">
        <v>13</v>
      </c>
      <c r="B981">
        <f t="shared" ref="B981" si="787">_xlfn.NUMBERVALUE(RIGHT(A981,2))</f>
        <v>49</v>
      </c>
      <c r="D981" t="str">
        <f t="shared" ref="D981:D1044" si="788">A981&amp;","</f>
        <v xml:space="preserve">    "resultPage": 49,</v>
      </c>
    </row>
    <row r="982" spans="1:4" x14ac:dyDescent="0.55000000000000004">
      <c r="A982" t="s">
        <v>763</v>
      </c>
      <c r="B982" t="str">
        <f>VLOOKUP(B981,Tabelle3!$A$2:$E$33,3,FALSE)</f>
        <v>Parrying Low</v>
      </c>
      <c r="C982" t="s">
        <v>762</v>
      </c>
      <c r="D982" t="str">
        <f t="shared" ref="D982" si="789">_xlfn.CONCAT(A982:C982)</f>
        <v xml:space="preserve">    "message":  "Parrying Low",</v>
      </c>
    </row>
    <row r="983" spans="1:4" x14ac:dyDescent="0.55000000000000004">
      <c r="A983" t="s">
        <v>764</v>
      </c>
      <c r="B983" t="str">
        <f>VLOOKUP(B981,Tabelle3!$A$2:$E$33,5,FALSE)</f>
        <v/>
      </c>
      <c r="C983" t="s">
        <v>762</v>
      </c>
      <c r="D983" t="str">
        <f t="shared" si="759"/>
        <v xml:space="preserve">    "nextInstruction":  "",</v>
      </c>
    </row>
    <row r="984" spans="1:4" x14ac:dyDescent="0.55000000000000004">
      <c r="A984" t="s">
        <v>765</v>
      </c>
      <c r="B984">
        <f>VLOOKUP(B981,Tabelle3!$A$2:$E$33,4,FALSE)</f>
        <v>-4</v>
      </c>
      <c r="D984" t="str">
        <f t="shared" ref="D984:D1047" si="790">IF(ISNUMBER(B984),(A984&amp;B984),"")</f>
        <v xml:space="preserve">    "damageModifier": -4</v>
      </c>
    </row>
    <row r="985" spans="1:4" x14ac:dyDescent="0.55000000000000004">
      <c r="A985" t="s">
        <v>6</v>
      </c>
      <c r="D985" t="str">
        <f t="shared" ref="D985:D1048" si="791">A985</f>
        <v xml:space="preserve">  },</v>
      </c>
    </row>
    <row r="986" spans="1:4" x14ac:dyDescent="0.55000000000000004">
      <c r="A986" t="s">
        <v>167</v>
      </c>
      <c r="D986" t="str">
        <f t="shared" si="791"/>
        <v xml:space="preserve">  "14-8": {</v>
      </c>
    </row>
    <row r="987" spans="1:4" x14ac:dyDescent="0.55000000000000004">
      <c r="A987" t="s">
        <v>125</v>
      </c>
      <c r="B987">
        <f t="shared" ref="B987" si="792">_xlfn.NUMBERVALUE(RIGHT(A987,2))</f>
        <v>21</v>
      </c>
      <c r="D987" t="str">
        <f t="shared" ref="D987:D1050" si="793">A987&amp;","</f>
        <v xml:space="preserve">    "resultPage": 21,</v>
      </c>
    </row>
    <row r="988" spans="1:4" x14ac:dyDescent="0.55000000000000004">
      <c r="A988" t="s">
        <v>763</v>
      </c>
      <c r="B988" t="str">
        <f>VLOOKUP(B987,Tabelle3!$A$2:$E$33,3,FALSE)</f>
        <v>Turned Around</v>
      </c>
      <c r="C988" t="s">
        <v>762</v>
      </c>
      <c r="D988" t="str">
        <f t="shared" ref="D988" si="794">_xlfn.CONCAT(A988:C988)</f>
        <v xml:space="preserve">    "message":  "Turned Around",</v>
      </c>
    </row>
    <row r="989" spans="1:4" x14ac:dyDescent="0.55000000000000004">
      <c r="A989" t="s">
        <v>764</v>
      </c>
      <c r="B989" t="str">
        <f>VLOOKUP(B987,Tabelle3!$A$2:$E$33,5,FALSE)</f>
        <v>Only Yellow</v>
      </c>
      <c r="C989" t="s">
        <v>762</v>
      </c>
      <c r="D989" t="str">
        <f t="shared" si="759"/>
        <v xml:space="preserve">    "nextInstruction":  "Only Yellow",</v>
      </c>
    </row>
    <row r="990" spans="1:4" x14ac:dyDescent="0.55000000000000004">
      <c r="A990" t="s">
        <v>765</v>
      </c>
      <c r="B990">
        <f>VLOOKUP(B987,Tabelle3!$A$2:$E$33,4,FALSE)</f>
        <v>0</v>
      </c>
      <c r="D990" t="str">
        <f t="shared" ref="D990:D1053" si="795">IF(ISNUMBER(B990),(A990&amp;B990),"")</f>
        <v xml:space="preserve">    "damageModifier": 0</v>
      </c>
    </row>
    <row r="991" spans="1:4" x14ac:dyDescent="0.55000000000000004">
      <c r="A991" t="s">
        <v>6</v>
      </c>
      <c r="D991" t="str">
        <f t="shared" ref="D991:D1054" si="796">A991</f>
        <v xml:space="preserve">  },</v>
      </c>
    </row>
    <row r="992" spans="1:4" x14ac:dyDescent="0.55000000000000004">
      <c r="A992" t="s">
        <v>168</v>
      </c>
      <c r="D992" t="str">
        <f t="shared" si="796"/>
        <v xml:space="preserve">  "14-10": {</v>
      </c>
    </row>
    <row r="993" spans="1:4" x14ac:dyDescent="0.55000000000000004">
      <c r="A993" t="s">
        <v>23</v>
      </c>
      <c r="B993">
        <f t="shared" ref="B993" si="797">_xlfn.NUMBERVALUE(RIGHT(A993,2))</f>
        <v>7</v>
      </c>
      <c r="D993" t="str">
        <f t="shared" ref="D993:D1056" si="798">A993&amp;","</f>
        <v xml:space="preserve">    "resultPage": 7,</v>
      </c>
    </row>
    <row r="994" spans="1:4" x14ac:dyDescent="0.55000000000000004">
      <c r="A994" t="s">
        <v>763</v>
      </c>
      <c r="B994" t="str">
        <f>VLOOKUP(B993,Tabelle3!$A$2:$E$33,3,FALSE)</f>
        <v>Dazed</v>
      </c>
      <c r="C994" t="s">
        <v>762</v>
      </c>
      <c r="D994" t="str">
        <f t="shared" ref="D994" si="799">_xlfn.CONCAT(A994:C994)</f>
        <v xml:space="preserve">    "message":  "Dazed",</v>
      </c>
    </row>
    <row r="995" spans="1:4" x14ac:dyDescent="0.55000000000000004">
      <c r="A995" t="s">
        <v>764</v>
      </c>
      <c r="B995" t="str">
        <f>VLOOKUP(B993,Tabelle3!$A$2:$E$33,5,FALSE)</f>
        <v>Only Green Only Yellow</v>
      </c>
      <c r="C995" t="s">
        <v>762</v>
      </c>
      <c r="D995" t="str">
        <f t="shared" si="759"/>
        <v xml:space="preserve">    "nextInstruction":  "Only Green Only Yellow",</v>
      </c>
    </row>
    <row r="996" spans="1:4" x14ac:dyDescent="0.55000000000000004">
      <c r="A996" t="s">
        <v>765</v>
      </c>
      <c r="B996">
        <f>VLOOKUP(B993,Tabelle3!$A$2:$E$33,4,FALSE)</f>
        <v>7</v>
      </c>
      <c r="D996" t="str">
        <f t="shared" ref="D996:D1059" si="800">IF(ISNUMBER(B996),(A996&amp;B996),"")</f>
        <v xml:space="preserve">    "damageModifier": 7</v>
      </c>
    </row>
    <row r="997" spans="1:4" x14ac:dyDescent="0.55000000000000004">
      <c r="A997" t="s">
        <v>6</v>
      </c>
      <c r="D997" t="str">
        <f t="shared" ref="D997:D1060" si="801">A997</f>
        <v xml:space="preserve">  },</v>
      </c>
    </row>
    <row r="998" spans="1:4" x14ac:dyDescent="0.55000000000000004">
      <c r="A998" t="s">
        <v>169</v>
      </c>
      <c r="D998" t="str">
        <f t="shared" si="801"/>
        <v xml:space="preserve">  "14-12": {</v>
      </c>
    </row>
    <row r="999" spans="1:4" x14ac:dyDescent="0.55000000000000004">
      <c r="A999" t="s">
        <v>80</v>
      </c>
      <c r="B999">
        <f t="shared" ref="B999" si="802">_xlfn.NUMBERVALUE(RIGHT(A999,2))</f>
        <v>11</v>
      </c>
      <c r="D999" t="str">
        <f t="shared" ref="D999:D1062" si="803">A999&amp;","</f>
        <v xml:space="preserve">    "resultPage": 11,</v>
      </c>
    </row>
    <row r="1000" spans="1:4" x14ac:dyDescent="0.55000000000000004">
      <c r="A1000" t="s">
        <v>763</v>
      </c>
      <c r="B1000" t="str">
        <f>VLOOKUP(B999,Tabelle3!$A$2:$E$33,3,FALSE)</f>
        <v>Thrusting Low</v>
      </c>
      <c r="C1000" t="s">
        <v>762</v>
      </c>
      <c r="D1000" t="str">
        <f t="shared" ref="D1000" si="804">_xlfn.CONCAT(A1000:C1000)</f>
        <v xml:space="preserve">    "message":  "Thrusting Low",</v>
      </c>
    </row>
    <row r="1001" spans="1:4" x14ac:dyDescent="0.55000000000000004">
      <c r="A1001" t="s">
        <v>764</v>
      </c>
      <c r="B1001" t="str">
        <f>VLOOKUP(B999,Tabelle3!$A$2:$E$33,5,FALSE)</f>
        <v>No Red</v>
      </c>
      <c r="C1001" t="s">
        <v>762</v>
      </c>
      <c r="D1001" t="str">
        <f t="shared" si="759"/>
        <v xml:space="preserve">    "nextInstruction":  "No Red",</v>
      </c>
    </row>
    <row r="1002" spans="1:4" x14ac:dyDescent="0.55000000000000004">
      <c r="A1002" t="s">
        <v>765</v>
      </c>
      <c r="B1002" t="str">
        <f>VLOOKUP(B999,Tabelle3!$A$2:$E$33,4,FALSE)</f>
        <v>""</v>
      </c>
      <c r="D1002" t="str">
        <f t="shared" ref="D1002:D1065" si="805">IF(ISNUMBER(B1002),(A1002&amp;B1002),"")</f>
        <v/>
      </c>
    </row>
    <row r="1003" spans="1:4" x14ac:dyDescent="0.55000000000000004">
      <c r="A1003" t="s">
        <v>6</v>
      </c>
      <c r="D1003" t="str">
        <f t="shared" ref="D1003:D1066" si="806">A1003</f>
        <v xml:space="preserve">  },</v>
      </c>
    </row>
    <row r="1004" spans="1:4" x14ac:dyDescent="0.55000000000000004">
      <c r="A1004" t="s">
        <v>170</v>
      </c>
      <c r="D1004" t="str">
        <f t="shared" si="806"/>
        <v xml:space="preserve">  "14-14": {</v>
      </c>
    </row>
    <row r="1005" spans="1:4" x14ac:dyDescent="0.55000000000000004">
      <c r="A1005" t="s">
        <v>80</v>
      </c>
      <c r="B1005">
        <f t="shared" ref="B1005" si="807">_xlfn.NUMBERVALUE(RIGHT(A1005,2))</f>
        <v>11</v>
      </c>
      <c r="D1005" t="str">
        <f t="shared" ref="D1005:D1068" si="808">A1005&amp;","</f>
        <v xml:space="preserve">    "resultPage": 11,</v>
      </c>
    </row>
    <row r="1006" spans="1:4" x14ac:dyDescent="0.55000000000000004">
      <c r="A1006" t="s">
        <v>763</v>
      </c>
      <c r="B1006" t="str">
        <f>VLOOKUP(B1005,Tabelle3!$A$2:$E$33,3,FALSE)</f>
        <v>Thrusting Low</v>
      </c>
      <c r="C1006" t="s">
        <v>762</v>
      </c>
      <c r="D1006" t="str">
        <f t="shared" ref="D1006" si="809">_xlfn.CONCAT(A1006:C1006)</f>
        <v xml:space="preserve">    "message":  "Thrusting Low",</v>
      </c>
    </row>
    <row r="1007" spans="1:4" x14ac:dyDescent="0.55000000000000004">
      <c r="A1007" t="s">
        <v>764</v>
      </c>
      <c r="B1007" t="str">
        <f>VLOOKUP(B1005,Tabelle3!$A$2:$E$33,5,FALSE)</f>
        <v>No Red</v>
      </c>
      <c r="C1007" t="s">
        <v>762</v>
      </c>
      <c r="D1007" t="str">
        <f t="shared" si="759"/>
        <v xml:space="preserve">    "nextInstruction":  "No Red",</v>
      </c>
    </row>
    <row r="1008" spans="1:4" x14ac:dyDescent="0.55000000000000004">
      <c r="A1008" t="s">
        <v>765</v>
      </c>
      <c r="B1008" t="str">
        <f>VLOOKUP(B1005,Tabelle3!$A$2:$E$33,4,FALSE)</f>
        <v>""</v>
      </c>
      <c r="D1008" t="str">
        <f t="shared" ref="D1008:D1071" si="810">IF(ISNUMBER(B1008),(A1008&amp;B1008),"")</f>
        <v/>
      </c>
    </row>
    <row r="1009" spans="1:4" x14ac:dyDescent="0.55000000000000004">
      <c r="A1009" t="s">
        <v>6</v>
      </c>
      <c r="D1009" t="str">
        <f t="shared" ref="D1009:D1072" si="811">A1009</f>
        <v xml:space="preserve">  },</v>
      </c>
    </row>
    <row r="1010" spans="1:4" x14ac:dyDescent="0.55000000000000004">
      <c r="A1010" t="s">
        <v>171</v>
      </c>
      <c r="D1010" t="str">
        <f t="shared" si="811"/>
        <v xml:space="preserve">  "14-16": {</v>
      </c>
    </row>
    <row r="1011" spans="1:4" x14ac:dyDescent="0.55000000000000004">
      <c r="A1011" t="s">
        <v>80</v>
      </c>
      <c r="B1011">
        <f t="shared" ref="B1011" si="812">_xlfn.NUMBERVALUE(RIGHT(A1011,2))</f>
        <v>11</v>
      </c>
      <c r="D1011" t="str">
        <f t="shared" ref="D1011:D1074" si="813">A1011&amp;","</f>
        <v xml:space="preserve">    "resultPage": 11,</v>
      </c>
    </row>
    <row r="1012" spans="1:4" x14ac:dyDescent="0.55000000000000004">
      <c r="A1012" t="s">
        <v>763</v>
      </c>
      <c r="B1012" t="str">
        <f>VLOOKUP(B1011,Tabelle3!$A$2:$E$33,3,FALSE)</f>
        <v>Thrusting Low</v>
      </c>
      <c r="C1012" t="s">
        <v>762</v>
      </c>
      <c r="D1012" t="str">
        <f t="shared" ref="D1012:D1073" si="814">_xlfn.CONCAT(A1012:C1012)</f>
        <v xml:space="preserve">    "message":  "Thrusting Low",</v>
      </c>
    </row>
    <row r="1013" spans="1:4" x14ac:dyDescent="0.55000000000000004">
      <c r="A1013" t="s">
        <v>764</v>
      </c>
      <c r="B1013" t="str">
        <f>VLOOKUP(B1011,Tabelle3!$A$2:$E$33,5,FALSE)</f>
        <v>No Red</v>
      </c>
      <c r="C1013" t="s">
        <v>762</v>
      </c>
      <c r="D1013" t="str">
        <f t="shared" si="814"/>
        <v xml:space="preserve">    "nextInstruction":  "No Red",</v>
      </c>
    </row>
    <row r="1014" spans="1:4" x14ac:dyDescent="0.55000000000000004">
      <c r="A1014" t="s">
        <v>765</v>
      </c>
      <c r="B1014" t="str">
        <f>VLOOKUP(B1011,Tabelle3!$A$2:$E$33,4,FALSE)</f>
        <v>""</v>
      </c>
      <c r="D1014" t="str">
        <f t="shared" ref="D1014:D1077" si="815">IF(ISNUMBER(B1014),(A1014&amp;B1014),"")</f>
        <v/>
      </c>
    </row>
    <row r="1015" spans="1:4" x14ac:dyDescent="0.55000000000000004">
      <c r="A1015" t="s">
        <v>6</v>
      </c>
      <c r="D1015" t="str">
        <f t="shared" ref="D1015:D1078" si="816">A1015</f>
        <v xml:space="preserve">  },</v>
      </c>
    </row>
    <row r="1016" spans="1:4" x14ac:dyDescent="0.55000000000000004">
      <c r="A1016" t="s">
        <v>172</v>
      </c>
      <c r="D1016" t="str">
        <f t="shared" si="816"/>
        <v xml:space="preserve">  "14-18": {</v>
      </c>
    </row>
    <row r="1017" spans="1:4" x14ac:dyDescent="0.55000000000000004">
      <c r="A1017" t="s">
        <v>80</v>
      </c>
      <c r="B1017">
        <f t="shared" ref="B1017" si="817">_xlfn.NUMBERVALUE(RIGHT(A1017,2))</f>
        <v>11</v>
      </c>
      <c r="D1017" t="str">
        <f t="shared" ref="D1017:D1080" si="818">A1017&amp;","</f>
        <v xml:space="preserve">    "resultPage": 11,</v>
      </c>
    </row>
    <row r="1018" spans="1:4" x14ac:dyDescent="0.55000000000000004">
      <c r="A1018" t="s">
        <v>763</v>
      </c>
      <c r="B1018" t="str">
        <f>VLOOKUP(B1017,Tabelle3!$A$2:$E$33,3,FALSE)</f>
        <v>Thrusting Low</v>
      </c>
      <c r="C1018" t="s">
        <v>762</v>
      </c>
      <c r="D1018" t="str">
        <f t="shared" ref="D1018" si="819">_xlfn.CONCAT(A1018:C1018)</f>
        <v xml:space="preserve">    "message":  "Thrusting Low",</v>
      </c>
    </row>
    <row r="1019" spans="1:4" x14ac:dyDescent="0.55000000000000004">
      <c r="A1019" t="s">
        <v>764</v>
      </c>
      <c r="B1019" t="str">
        <f>VLOOKUP(B1017,Tabelle3!$A$2:$E$33,5,FALSE)</f>
        <v>No Red</v>
      </c>
      <c r="C1019" t="s">
        <v>762</v>
      </c>
      <c r="D1019" t="str">
        <f t="shared" si="814"/>
        <v xml:space="preserve">    "nextInstruction":  "No Red",</v>
      </c>
    </row>
    <row r="1020" spans="1:4" x14ac:dyDescent="0.55000000000000004">
      <c r="A1020" t="s">
        <v>765</v>
      </c>
      <c r="B1020" t="str">
        <f>VLOOKUP(B1017,Tabelle3!$A$2:$E$33,4,FALSE)</f>
        <v>""</v>
      </c>
      <c r="D1020" t="str">
        <f t="shared" ref="D1020:D1083" si="820">IF(ISNUMBER(B1020),(A1020&amp;B1020),"")</f>
        <v/>
      </c>
    </row>
    <row r="1021" spans="1:4" x14ac:dyDescent="0.55000000000000004">
      <c r="A1021" t="s">
        <v>6</v>
      </c>
      <c r="D1021" t="str">
        <f t="shared" ref="D1021:D1084" si="821">A1021</f>
        <v xml:space="preserve">  },</v>
      </c>
    </row>
    <row r="1022" spans="1:4" x14ac:dyDescent="0.55000000000000004">
      <c r="A1022" t="s">
        <v>173</v>
      </c>
      <c r="D1022" t="str">
        <f t="shared" si="821"/>
        <v xml:space="preserve">  "14-20": {</v>
      </c>
    </row>
    <row r="1023" spans="1:4" x14ac:dyDescent="0.55000000000000004">
      <c r="A1023" t="s">
        <v>80</v>
      </c>
      <c r="B1023">
        <f t="shared" ref="B1023" si="822">_xlfn.NUMBERVALUE(RIGHT(A1023,2))</f>
        <v>11</v>
      </c>
      <c r="D1023" t="str">
        <f t="shared" ref="D1023:D1086" si="823">A1023&amp;","</f>
        <v xml:space="preserve">    "resultPage": 11,</v>
      </c>
    </row>
    <row r="1024" spans="1:4" x14ac:dyDescent="0.55000000000000004">
      <c r="A1024" t="s">
        <v>763</v>
      </c>
      <c r="B1024" t="str">
        <f>VLOOKUP(B1023,Tabelle3!$A$2:$E$33,3,FALSE)</f>
        <v>Thrusting Low</v>
      </c>
      <c r="C1024" t="s">
        <v>762</v>
      </c>
      <c r="D1024" t="str">
        <f t="shared" ref="D1024" si="824">_xlfn.CONCAT(A1024:C1024)</f>
        <v xml:space="preserve">    "message":  "Thrusting Low",</v>
      </c>
    </row>
    <row r="1025" spans="1:4" x14ac:dyDescent="0.55000000000000004">
      <c r="A1025" t="s">
        <v>764</v>
      </c>
      <c r="B1025" t="str">
        <f>VLOOKUP(B1023,Tabelle3!$A$2:$E$33,5,FALSE)</f>
        <v>No Red</v>
      </c>
      <c r="C1025" t="s">
        <v>762</v>
      </c>
      <c r="D1025" t="str">
        <f t="shared" si="814"/>
        <v xml:space="preserve">    "nextInstruction":  "No Red",</v>
      </c>
    </row>
    <row r="1026" spans="1:4" x14ac:dyDescent="0.55000000000000004">
      <c r="A1026" t="s">
        <v>765</v>
      </c>
      <c r="B1026" t="str">
        <f>VLOOKUP(B1023,Tabelle3!$A$2:$E$33,4,FALSE)</f>
        <v>""</v>
      </c>
      <c r="D1026" t="str">
        <f t="shared" ref="D1026:D1089" si="825">IF(ISNUMBER(B1026),(A1026&amp;B1026),"")</f>
        <v/>
      </c>
    </row>
    <row r="1027" spans="1:4" x14ac:dyDescent="0.55000000000000004">
      <c r="A1027" t="s">
        <v>6</v>
      </c>
      <c r="D1027" t="str">
        <f t="shared" ref="D1027:D1090" si="826">A1027</f>
        <v xml:space="preserve">  },</v>
      </c>
    </row>
    <row r="1028" spans="1:4" x14ac:dyDescent="0.55000000000000004">
      <c r="A1028" t="s">
        <v>174</v>
      </c>
      <c r="D1028" t="str">
        <f t="shared" si="826"/>
        <v xml:space="preserve">  "14-22": {</v>
      </c>
    </row>
    <row r="1029" spans="1:4" x14ac:dyDescent="0.55000000000000004">
      <c r="A1029" t="s">
        <v>80</v>
      </c>
      <c r="B1029">
        <f t="shared" ref="B1029" si="827">_xlfn.NUMBERVALUE(RIGHT(A1029,2))</f>
        <v>11</v>
      </c>
      <c r="D1029" t="str">
        <f t="shared" ref="D1029:D1092" si="828">A1029&amp;","</f>
        <v xml:space="preserve">    "resultPage": 11,</v>
      </c>
    </row>
    <row r="1030" spans="1:4" x14ac:dyDescent="0.55000000000000004">
      <c r="A1030" t="s">
        <v>763</v>
      </c>
      <c r="B1030" t="str">
        <f>VLOOKUP(B1029,Tabelle3!$A$2:$E$33,3,FALSE)</f>
        <v>Thrusting Low</v>
      </c>
      <c r="C1030" t="s">
        <v>762</v>
      </c>
      <c r="D1030" t="str">
        <f t="shared" ref="D1030" si="829">_xlfn.CONCAT(A1030:C1030)</f>
        <v xml:space="preserve">    "message":  "Thrusting Low",</v>
      </c>
    </row>
    <row r="1031" spans="1:4" x14ac:dyDescent="0.55000000000000004">
      <c r="A1031" t="s">
        <v>764</v>
      </c>
      <c r="B1031" t="str">
        <f>VLOOKUP(B1029,Tabelle3!$A$2:$E$33,5,FALSE)</f>
        <v>No Red</v>
      </c>
      <c r="C1031" t="s">
        <v>762</v>
      </c>
      <c r="D1031" t="str">
        <f t="shared" si="814"/>
        <v xml:space="preserve">    "nextInstruction":  "No Red",</v>
      </c>
    </row>
    <row r="1032" spans="1:4" x14ac:dyDescent="0.55000000000000004">
      <c r="A1032" t="s">
        <v>765</v>
      </c>
      <c r="B1032" t="str">
        <f>VLOOKUP(B1029,Tabelle3!$A$2:$E$33,4,FALSE)</f>
        <v>""</v>
      </c>
      <c r="D1032" t="str">
        <f t="shared" ref="D1032:D1095" si="830">IF(ISNUMBER(B1032),(A1032&amp;B1032),"")</f>
        <v/>
      </c>
    </row>
    <row r="1033" spans="1:4" x14ac:dyDescent="0.55000000000000004">
      <c r="A1033" t="s">
        <v>6</v>
      </c>
      <c r="D1033" t="str">
        <f t="shared" ref="D1033:D1096" si="831">A1033</f>
        <v xml:space="preserve">  },</v>
      </c>
    </row>
    <row r="1034" spans="1:4" x14ac:dyDescent="0.55000000000000004">
      <c r="A1034" t="s">
        <v>175</v>
      </c>
      <c r="D1034" t="str">
        <f t="shared" si="831"/>
        <v xml:space="preserve">  "14-24": {</v>
      </c>
    </row>
    <row r="1035" spans="1:4" x14ac:dyDescent="0.55000000000000004">
      <c r="A1035" t="s">
        <v>80</v>
      </c>
      <c r="B1035">
        <f t="shared" ref="B1035" si="832">_xlfn.NUMBERVALUE(RIGHT(A1035,2))</f>
        <v>11</v>
      </c>
      <c r="D1035" t="str">
        <f t="shared" ref="D1035:D1098" si="833">A1035&amp;","</f>
        <v xml:space="preserve">    "resultPage": 11,</v>
      </c>
    </row>
    <row r="1036" spans="1:4" x14ac:dyDescent="0.55000000000000004">
      <c r="A1036" t="s">
        <v>763</v>
      </c>
      <c r="B1036" t="str">
        <f>VLOOKUP(B1035,Tabelle3!$A$2:$E$33,3,FALSE)</f>
        <v>Thrusting Low</v>
      </c>
      <c r="C1036" t="s">
        <v>762</v>
      </c>
      <c r="D1036" t="str">
        <f t="shared" ref="D1036" si="834">_xlfn.CONCAT(A1036:C1036)</f>
        <v xml:space="preserve">    "message":  "Thrusting Low",</v>
      </c>
    </row>
    <row r="1037" spans="1:4" x14ac:dyDescent="0.55000000000000004">
      <c r="A1037" t="s">
        <v>764</v>
      </c>
      <c r="B1037" t="str">
        <f>VLOOKUP(B1035,Tabelle3!$A$2:$E$33,5,FALSE)</f>
        <v>No Red</v>
      </c>
      <c r="C1037" t="s">
        <v>762</v>
      </c>
      <c r="D1037" t="str">
        <f t="shared" si="814"/>
        <v xml:space="preserve">    "nextInstruction":  "No Red",</v>
      </c>
    </row>
    <row r="1038" spans="1:4" x14ac:dyDescent="0.55000000000000004">
      <c r="A1038" t="s">
        <v>765</v>
      </c>
      <c r="B1038" t="str">
        <f>VLOOKUP(B1035,Tabelle3!$A$2:$E$33,4,FALSE)</f>
        <v>""</v>
      </c>
      <c r="D1038" t="str">
        <f t="shared" ref="D1038:D1101" si="835">IF(ISNUMBER(B1038),(A1038&amp;B1038),"")</f>
        <v/>
      </c>
    </row>
    <row r="1039" spans="1:4" x14ac:dyDescent="0.55000000000000004">
      <c r="A1039" t="s">
        <v>6</v>
      </c>
      <c r="D1039" t="str">
        <f t="shared" ref="D1039:D1102" si="836">A1039</f>
        <v xml:space="preserve">  },</v>
      </c>
    </row>
    <row r="1040" spans="1:4" x14ac:dyDescent="0.55000000000000004">
      <c r="A1040" t="s">
        <v>176</v>
      </c>
      <c r="D1040" t="str">
        <f t="shared" si="836"/>
        <v xml:space="preserve">  "14-26": {</v>
      </c>
    </row>
    <row r="1041" spans="1:4" x14ac:dyDescent="0.55000000000000004">
      <c r="A1041" t="s">
        <v>80</v>
      </c>
      <c r="B1041">
        <f t="shared" ref="B1041" si="837">_xlfn.NUMBERVALUE(RIGHT(A1041,2))</f>
        <v>11</v>
      </c>
      <c r="D1041" t="str">
        <f t="shared" ref="D1041:D1104" si="838">A1041&amp;","</f>
        <v xml:space="preserve">    "resultPage": 11,</v>
      </c>
    </row>
    <row r="1042" spans="1:4" x14ac:dyDescent="0.55000000000000004">
      <c r="A1042" t="s">
        <v>763</v>
      </c>
      <c r="B1042" t="str">
        <f>VLOOKUP(B1041,Tabelle3!$A$2:$E$33,3,FALSE)</f>
        <v>Thrusting Low</v>
      </c>
      <c r="C1042" t="s">
        <v>762</v>
      </c>
      <c r="D1042" t="str">
        <f t="shared" ref="D1042" si="839">_xlfn.CONCAT(A1042:C1042)</f>
        <v xml:space="preserve">    "message":  "Thrusting Low",</v>
      </c>
    </row>
    <row r="1043" spans="1:4" x14ac:dyDescent="0.55000000000000004">
      <c r="A1043" t="s">
        <v>764</v>
      </c>
      <c r="B1043" t="str">
        <f>VLOOKUP(B1041,Tabelle3!$A$2:$E$33,5,FALSE)</f>
        <v>No Red</v>
      </c>
      <c r="C1043" t="s">
        <v>762</v>
      </c>
      <c r="D1043" t="str">
        <f t="shared" si="814"/>
        <v xml:space="preserve">    "nextInstruction":  "No Red",</v>
      </c>
    </row>
    <row r="1044" spans="1:4" x14ac:dyDescent="0.55000000000000004">
      <c r="A1044" t="s">
        <v>765</v>
      </c>
      <c r="B1044" t="str">
        <f>VLOOKUP(B1041,Tabelle3!$A$2:$E$33,4,FALSE)</f>
        <v>""</v>
      </c>
      <c r="D1044" t="str">
        <f t="shared" ref="D1044:D1107" si="840">IF(ISNUMBER(B1044),(A1044&amp;B1044),"")</f>
        <v/>
      </c>
    </row>
    <row r="1045" spans="1:4" x14ac:dyDescent="0.55000000000000004">
      <c r="A1045" t="s">
        <v>6</v>
      </c>
      <c r="D1045" t="str">
        <f t="shared" ref="D1045:D1108" si="841">A1045</f>
        <v xml:space="preserve">  },</v>
      </c>
    </row>
    <row r="1046" spans="1:4" x14ac:dyDescent="0.55000000000000004">
      <c r="A1046" t="s">
        <v>177</v>
      </c>
      <c r="D1046" t="str">
        <f t="shared" si="841"/>
        <v xml:space="preserve">  "14-28": {</v>
      </c>
    </row>
    <row r="1047" spans="1:4" x14ac:dyDescent="0.55000000000000004">
      <c r="A1047" t="s">
        <v>80</v>
      </c>
      <c r="B1047">
        <f t="shared" ref="B1047" si="842">_xlfn.NUMBERVALUE(RIGHT(A1047,2))</f>
        <v>11</v>
      </c>
      <c r="D1047" t="str">
        <f t="shared" ref="D1047:D1110" si="843">A1047&amp;","</f>
        <v xml:space="preserve">    "resultPage": 11,</v>
      </c>
    </row>
    <row r="1048" spans="1:4" x14ac:dyDescent="0.55000000000000004">
      <c r="A1048" t="s">
        <v>763</v>
      </c>
      <c r="B1048" t="str">
        <f>VLOOKUP(B1047,Tabelle3!$A$2:$E$33,3,FALSE)</f>
        <v>Thrusting Low</v>
      </c>
      <c r="C1048" t="s">
        <v>762</v>
      </c>
      <c r="D1048" t="str">
        <f t="shared" ref="D1048" si="844">_xlfn.CONCAT(A1048:C1048)</f>
        <v xml:space="preserve">    "message":  "Thrusting Low",</v>
      </c>
    </row>
    <row r="1049" spans="1:4" x14ac:dyDescent="0.55000000000000004">
      <c r="A1049" t="s">
        <v>764</v>
      </c>
      <c r="B1049" t="str">
        <f>VLOOKUP(B1047,Tabelle3!$A$2:$E$33,5,FALSE)</f>
        <v>No Red</v>
      </c>
      <c r="C1049" t="s">
        <v>762</v>
      </c>
      <c r="D1049" t="str">
        <f t="shared" si="814"/>
        <v xml:space="preserve">    "nextInstruction":  "No Red",</v>
      </c>
    </row>
    <row r="1050" spans="1:4" x14ac:dyDescent="0.55000000000000004">
      <c r="A1050" t="s">
        <v>765</v>
      </c>
      <c r="B1050" t="str">
        <f>VLOOKUP(B1047,Tabelle3!$A$2:$E$33,4,FALSE)</f>
        <v>""</v>
      </c>
      <c r="D1050" t="str">
        <f t="shared" ref="D1050:D1113" si="845">IF(ISNUMBER(B1050),(A1050&amp;B1050),"")</f>
        <v/>
      </c>
    </row>
    <row r="1051" spans="1:4" x14ac:dyDescent="0.55000000000000004">
      <c r="A1051" t="s">
        <v>6</v>
      </c>
      <c r="D1051" t="str">
        <f t="shared" ref="D1051:D1114" si="846">A1051</f>
        <v xml:space="preserve">  },</v>
      </c>
    </row>
    <row r="1052" spans="1:4" x14ac:dyDescent="0.55000000000000004">
      <c r="A1052" t="s">
        <v>178</v>
      </c>
      <c r="D1052" t="str">
        <f t="shared" si="846"/>
        <v xml:space="preserve">  "14-30": {</v>
      </c>
    </row>
    <row r="1053" spans="1:4" x14ac:dyDescent="0.55000000000000004">
      <c r="A1053" t="s">
        <v>80</v>
      </c>
      <c r="B1053">
        <f t="shared" ref="B1053" si="847">_xlfn.NUMBERVALUE(RIGHT(A1053,2))</f>
        <v>11</v>
      </c>
      <c r="D1053" t="str">
        <f t="shared" ref="D1053:D1116" si="848">A1053&amp;","</f>
        <v xml:space="preserve">    "resultPage": 11,</v>
      </c>
    </row>
    <row r="1054" spans="1:4" x14ac:dyDescent="0.55000000000000004">
      <c r="A1054" t="s">
        <v>763</v>
      </c>
      <c r="B1054" t="str">
        <f>VLOOKUP(B1053,Tabelle3!$A$2:$E$33,3,FALSE)</f>
        <v>Thrusting Low</v>
      </c>
      <c r="C1054" t="s">
        <v>762</v>
      </c>
      <c r="D1054" t="str">
        <f t="shared" ref="D1054" si="849">_xlfn.CONCAT(A1054:C1054)</f>
        <v xml:space="preserve">    "message":  "Thrusting Low",</v>
      </c>
    </row>
    <row r="1055" spans="1:4" x14ac:dyDescent="0.55000000000000004">
      <c r="A1055" t="s">
        <v>764</v>
      </c>
      <c r="B1055" t="str">
        <f>VLOOKUP(B1053,Tabelle3!$A$2:$E$33,5,FALSE)</f>
        <v>No Red</v>
      </c>
      <c r="C1055" t="s">
        <v>762</v>
      </c>
      <c r="D1055" t="str">
        <f t="shared" si="814"/>
        <v xml:space="preserve">    "nextInstruction":  "No Red",</v>
      </c>
    </row>
    <row r="1056" spans="1:4" x14ac:dyDescent="0.55000000000000004">
      <c r="A1056" t="s">
        <v>765</v>
      </c>
      <c r="B1056" t="str">
        <f>VLOOKUP(B1053,Tabelle3!$A$2:$E$33,4,FALSE)</f>
        <v>""</v>
      </c>
      <c r="D1056" t="str">
        <f t="shared" ref="D1056:D1119" si="850">IF(ISNUMBER(B1056),(A1056&amp;B1056),"")</f>
        <v/>
      </c>
    </row>
    <row r="1057" spans="1:4" x14ac:dyDescent="0.55000000000000004">
      <c r="A1057" t="s">
        <v>6</v>
      </c>
      <c r="D1057" t="str">
        <f t="shared" ref="D1057:D1120" si="851">A1057</f>
        <v xml:space="preserve">  },</v>
      </c>
    </row>
    <row r="1058" spans="1:4" x14ac:dyDescent="0.55000000000000004">
      <c r="A1058" t="s">
        <v>179</v>
      </c>
      <c r="D1058" t="str">
        <f t="shared" si="851"/>
        <v xml:space="preserve">  "14-32": {</v>
      </c>
    </row>
    <row r="1059" spans="1:4" x14ac:dyDescent="0.55000000000000004">
      <c r="A1059" t="s">
        <v>80</v>
      </c>
      <c r="B1059">
        <f t="shared" ref="B1059" si="852">_xlfn.NUMBERVALUE(RIGHT(A1059,2))</f>
        <v>11</v>
      </c>
      <c r="D1059" t="str">
        <f t="shared" ref="D1059:D1122" si="853">A1059&amp;","</f>
        <v xml:space="preserve">    "resultPage": 11,</v>
      </c>
    </row>
    <row r="1060" spans="1:4" x14ac:dyDescent="0.55000000000000004">
      <c r="A1060" t="s">
        <v>763</v>
      </c>
      <c r="B1060" t="str">
        <f>VLOOKUP(B1059,Tabelle3!$A$2:$E$33,3,FALSE)</f>
        <v>Thrusting Low</v>
      </c>
      <c r="C1060" t="s">
        <v>762</v>
      </c>
      <c r="D1060" t="str">
        <f t="shared" ref="D1060" si="854">_xlfn.CONCAT(A1060:C1060)</f>
        <v xml:space="preserve">    "message":  "Thrusting Low",</v>
      </c>
    </row>
    <row r="1061" spans="1:4" x14ac:dyDescent="0.55000000000000004">
      <c r="A1061" t="s">
        <v>764</v>
      </c>
      <c r="B1061" t="str">
        <f>VLOOKUP(B1059,Tabelle3!$A$2:$E$33,5,FALSE)</f>
        <v>No Red</v>
      </c>
      <c r="C1061" t="s">
        <v>762</v>
      </c>
      <c r="D1061" t="str">
        <f t="shared" si="814"/>
        <v xml:space="preserve">    "nextInstruction":  "No Red",</v>
      </c>
    </row>
    <row r="1062" spans="1:4" x14ac:dyDescent="0.55000000000000004">
      <c r="A1062" t="s">
        <v>765</v>
      </c>
      <c r="B1062" t="str">
        <f>VLOOKUP(B1059,Tabelle3!$A$2:$E$33,4,FALSE)</f>
        <v>""</v>
      </c>
      <c r="D1062" t="str">
        <f t="shared" ref="D1062:D1125" si="855">IF(ISNUMBER(B1062),(A1062&amp;B1062),"")</f>
        <v/>
      </c>
    </row>
    <row r="1063" spans="1:4" x14ac:dyDescent="0.55000000000000004">
      <c r="A1063" t="s">
        <v>6</v>
      </c>
      <c r="D1063" t="str">
        <f t="shared" ref="D1063:D1126" si="856">A1063</f>
        <v xml:space="preserve">  },</v>
      </c>
    </row>
    <row r="1064" spans="1:4" x14ac:dyDescent="0.55000000000000004">
      <c r="A1064" t="s">
        <v>180</v>
      </c>
      <c r="D1064" t="str">
        <f t="shared" si="856"/>
        <v xml:space="preserve">  "14-34": {</v>
      </c>
    </row>
    <row r="1065" spans="1:4" x14ac:dyDescent="0.55000000000000004">
      <c r="A1065" t="s">
        <v>80</v>
      </c>
      <c r="B1065">
        <f t="shared" ref="B1065" si="857">_xlfn.NUMBERVALUE(RIGHT(A1065,2))</f>
        <v>11</v>
      </c>
      <c r="D1065" t="str">
        <f t="shared" ref="D1065:D1128" si="858">A1065&amp;","</f>
        <v xml:space="preserve">    "resultPage": 11,</v>
      </c>
    </row>
    <row r="1066" spans="1:4" x14ac:dyDescent="0.55000000000000004">
      <c r="A1066" t="s">
        <v>763</v>
      </c>
      <c r="B1066" t="str">
        <f>VLOOKUP(B1065,Tabelle3!$A$2:$E$33,3,FALSE)</f>
        <v>Thrusting Low</v>
      </c>
      <c r="C1066" t="s">
        <v>762</v>
      </c>
      <c r="D1066" t="str">
        <f t="shared" ref="D1066" si="859">_xlfn.CONCAT(A1066:C1066)</f>
        <v xml:space="preserve">    "message":  "Thrusting Low",</v>
      </c>
    </row>
    <row r="1067" spans="1:4" x14ac:dyDescent="0.55000000000000004">
      <c r="A1067" t="s">
        <v>764</v>
      </c>
      <c r="B1067" t="str">
        <f>VLOOKUP(B1065,Tabelle3!$A$2:$E$33,5,FALSE)</f>
        <v>No Red</v>
      </c>
      <c r="C1067" t="s">
        <v>762</v>
      </c>
      <c r="D1067" t="str">
        <f t="shared" si="814"/>
        <v xml:space="preserve">    "nextInstruction":  "No Red",</v>
      </c>
    </row>
    <row r="1068" spans="1:4" x14ac:dyDescent="0.55000000000000004">
      <c r="A1068" t="s">
        <v>765</v>
      </c>
      <c r="B1068" t="str">
        <f>VLOOKUP(B1065,Tabelle3!$A$2:$E$33,4,FALSE)</f>
        <v>""</v>
      </c>
      <c r="D1068" t="str">
        <f t="shared" ref="D1068:D1131" si="860">IF(ISNUMBER(B1068),(A1068&amp;B1068),"")</f>
        <v/>
      </c>
    </row>
    <row r="1069" spans="1:4" x14ac:dyDescent="0.55000000000000004">
      <c r="A1069" t="s">
        <v>6</v>
      </c>
      <c r="D1069" t="str">
        <f t="shared" ref="D1069:D1132" si="861">A1069</f>
        <v xml:space="preserve">  },</v>
      </c>
    </row>
    <row r="1070" spans="1:4" x14ac:dyDescent="0.55000000000000004">
      <c r="A1070" t="s">
        <v>181</v>
      </c>
      <c r="D1070" t="str">
        <f t="shared" si="861"/>
        <v xml:space="preserve">  "14-36": {</v>
      </c>
    </row>
    <row r="1071" spans="1:4" x14ac:dyDescent="0.55000000000000004">
      <c r="A1071" t="s">
        <v>80</v>
      </c>
      <c r="B1071">
        <f t="shared" ref="B1071" si="862">_xlfn.NUMBERVALUE(RIGHT(A1071,2))</f>
        <v>11</v>
      </c>
      <c r="D1071" t="str">
        <f t="shared" ref="D1071:D1134" si="863">A1071&amp;","</f>
        <v xml:space="preserve">    "resultPage": 11,</v>
      </c>
    </row>
    <row r="1072" spans="1:4" x14ac:dyDescent="0.55000000000000004">
      <c r="A1072" t="s">
        <v>763</v>
      </c>
      <c r="B1072" t="str">
        <f>VLOOKUP(B1071,Tabelle3!$A$2:$E$33,3,FALSE)</f>
        <v>Thrusting Low</v>
      </c>
      <c r="C1072" t="s">
        <v>762</v>
      </c>
      <c r="D1072" t="str">
        <f t="shared" ref="D1072" si="864">_xlfn.CONCAT(A1072:C1072)</f>
        <v xml:space="preserve">    "message":  "Thrusting Low",</v>
      </c>
    </row>
    <row r="1073" spans="1:4" x14ac:dyDescent="0.55000000000000004">
      <c r="A1073" t="s">
        <v>764</v>
      </c>
      <c r="B1073" t="str">
        <f>VLOOKUP(B1071,Tabelle3!$A$2:$E$33,5,FALSE)</f>
        <v>No Red</v>
      </c>
      <c r="C1073" t="s">
        <v>762</v>
      </c>
      <c r="D1073" t="str">
        <f t="shared" si="814"/>
        <v xml:space="preserve">    "nextInstruction":  "No Red",</v>
      </c>
    </row>
    <row r="1074" spans="1:4" x14ac:dyDescent="0.55000000000000004">
      <c r="A1074" t="s">
        <v>765</v>
      </c>
      <c r="B1074" t="str">
        <f>VLOOKUP(B1071,Tabelle3!$A$2:$E$33,4,FALSE)</f>
        <v>""</v>
      </c>
      <c r="D1074" t="str">
        <f t="shared" ref="D1074:D1137" si="865">IF(ISNUMBER(B1074),(A1074&amp;B1074),"")</f>
        <v/>
      </c>
    </row>
    <row r="1075" spans="1:4" x14ac:dyDescent="0.55000000000000004">
      <c r="A1075" t="s">
        <v>6</v>
      </c>
      <c r="D1075" t="str">
        <f t="shared" ref="D1075:D1138" si="866">A1075</f>
        <v xml:space="preserve">  },</v>
      </c>
    </row>
    <row r="1076" spans="1:4" x14ac:dyDescent="0.55000000000000004">
      <c r="A1076" t="s">
        <v>182</v>
      </c>
      <c r="D1076" t="str">
        <f t="shared" si="866"/>
        <v xml:space="preserve">  "14-38": {</v>
      </c>
    </row>
    <row r="1077" spans="1:4" x14ac:dyDescent="0.55000000000000004">
      <c r="A1077" t="s">
        <v>23</v>
      </c>
      <c r="B1077">
        <f t="shared" ref="B1077" si="867">_xlfn.NUMBERVALUE(RIGHT(A1077,2))</f>
        <v>7</v>
      </c>
      <c r="D1077" t="str">
        <f t="shared" ref="D1077:D1140" si="868">A1077&amp;","</f>
        <v xml:space="preserve">    "resultPage": 7,</v>
      </c>
    </row>
    <row r="1078" spans="1:4" x14ac:dyDescent="0.55000000000000004">
      <c r="A1078" t="s">
        <v>763</v>
      </c>
      <c r="B1078" t="str">
        <f>VLOOKUP(B1077,Tabelle3!$A$2:$E$33,3,FALSE)</f>
        <v>Dazed</v>
      </c>
      <c r="C1078" t="s">
        <v>762</v>
      </c>
      <c r="D1078" t="str">
        <f t="shared" ref="D1078:D1139" si="869">_xlfn.CONCAT(A1078:C1078)</f>
        <v xml:space="preserve">    "message":  "Dazed",</v>
      </c>
    </row>
    <row r="1079" spans="1:4" x14ac:dyDescent="0.55000000000000004">
      <c r="A1079" t="s">
        <v>764</v>
      </c>
      <c r="B1079" t="str">
        <f>VLOOKUP(B1077,Tabelle3!$A$2:$E$33,5,FALSE)</f>
        <v>Only Green Only Yellow</v>
      </c>
      <c r="C1079" t="s">
        <v>762</v>
      </c>
      <c r="D1079" t="str">
        <f t="shared" si="869"/>
        <v xml:space="preserve">    "nextInstruction":  "Only Green Only Yellow",</v>
      </c>
    </row>
    <row r="1080" spans="1:4" x14ac:dyDescent="0.55000000000000004">
      <c r="A1080" t="s">
        <v>765</v>
      </c>
      <c r="B1080">
        <f>VLOOKUP(B1077,Tabelle3!$A$2:$E$33,4,FALSE)</f>
        <v>7</v>
      </c>
      <c r="D1080" t="str">
        <f t="shared" ref="D1080:D1143" si="870">IF(ISNUMBER(B1080),(A1080&amp;B1080),"")</f>
        <v xml:space="preserve">    "damageModifier": 7</v>
      </c>
    </row>
    <row r="1081" spans="1:4" x14ac:dyDescent="0.55000000000000004">
      <c r="A1081" t="s">
        <v>6</v>
      </c>
      <c r="D1081" t="str">
        <f t="shared" ref="D1081:D1144" si="871">A1081</f>
        <v xml:space="preserve">  },</v>
      </c>
    </row>
    <row r="1082" spans="1:4" x14ac:dyDescent="0.55000000000000004">
      <c r="A1082" t="s">
        <v>183</v>
      </c>
      <c r="D1082" t="str">
        <f t="shared" si="871"/>
        <v xml:space="preserve">  "14-40": {</v>
      </c>
    </row>
    <row r="1083" spans="1:4" x14ac:dyDescent="0.55000000000000004">
      <c r="A1083" t="s">
        <v>13</v>
      </c>
      <c r="B1083">
        <f t="shared" ref="B1083" si="872">_xlfn.NUMBERVALUE(RIGHT(A1083,2))</f>
        <v>49</v>
      </c>
      <c r="D1083" t="str">
        <f t="shared" ref="D1083:D1146" si="873">A1083&amp;","</f>
        <v xml:space="preserve">    "resultPage": 49,</v>
      </c>
    </row>
    <row r="1084" spans="1:4" x14ac:dyDescent="0.55000000000000004">
      <c r="A1084" t="s">
        <v>763</v>
      </c>
      <c r="B1084" t="str">
        <f>VLOOKUP(B1083,Tabelle3!$A$2:$E$33,3,FALSE)</f>
        <v>Parrying Low</v>
      </c>
      <c r="C1084" t="s">
        <v>762</v>
      </c>
      <c r="D1084" t="str">
        <f t="shared" ref="D1084" si="874">_xlfn.CONCAT(A1084:C1084)</f>
        <v xml:space="preserve">    "message":  "Parrying Low",</v>
      </c>
    </row>
    <row r="1085" spans="1:4" x14ac:dyDescent="0.55000000000000004">
      <c r="A1085" t="s">
        <v>764</v>
      </c>
      <c r="B1085" t="str">
        <f>VLOOKUP(B1083,Tabelle3!$A$2:$E$33,5,FALSE)</f>
        <v/>
      </c>
      <c r="C1085" t="s">
        <v>762</v>
      </c>
      <c r="D1085" t="str">
        <f t="shared" si="869"/>
        <v xml:space="preserve">    "nextInstruction":  "",</v>
      </c>
    </row>
    <row r="1086" spans="1:4" x14ac:dyDescent="0.55000000000000004">
      <c r="A1086" t="s">
        <v>765</v>
      </c>
      <c r="B1086">
        <f>VLOOKUP(B1083,Tabelle3!$A$2:$E$33,4,FALSE)</f>
        <v>-4</v>
      </c>
      <c r="D1086" t="str">
        <f t="shared" ref="D1086:D1149" si="875">IF(ISNUMBER(B1086),(A1086&amp;B1086),"")</f>
        <v xml:space="preserve">    "damageModifier": -4</v>
      </c>
    </row>
    <row r="1087" spans="1:4" x14ac:dyDescent="0.55000000000000004">
      <c r="A1087" t="s">
        <v>6</v>
      </c>
      <c r="D1087" t="str">
        <f t="shared" ref="D1087:D1150" si="876">A1087</f>
        <v xml:space="preserve">  },</v>
      </c>
    </row>
    <row r="1088" spans="1:4" x14ac:dyDescent="0.55000000000000004">
      <c r="A1088" t="s">
        <v>184</v>
      </c>
      <c r="D1088" t="str">
        <f t="shared" si="876"/>
        <v xml:space="preserve">  "14-42": {</v>
      </c>
    </row>
    <row r="1089" spans="1:4" x14ac:dyDescent="0.55000000000000004">
      <c r="A1089" t="s">
        <v>13</v>
      </c>
      <c r="B1089">
        <f t="shared" ref="B1089" si="877">_xlfn.NUMBERVALUE(RIGHT(A1089,2))</f>
        <v>49</v>
      </c>
      <c r="D1089" t="str">
        <f t="shared" ref="D1089:D1152" si="878">A1089&amp;","</f>
        <v xml:space="preserve">    "resultPage": 49,</v>
      </c>
    </row>
    <row r="1090" spans="1:4" x14ac:dyDescent="0.55000000000000004">
      <c r="A1090" t="s">
        <v>763</v>
      </c>
      <c r="B1090" t="str">
        <f>VLOOKUP(B1089,Tabelle3!$A$2:$E$33,3,FALSE)</f>
        <v>Parrying Low</v>
      </c>
      <c r="C1090" t="s">
        <v>762</v>
      </c>
      <c r="D1090" t="str">
        <f t="shared" ref="D1090" si="879">_xlfn.CONCAT(A1090:C1090)</f>
        <v xml:space="preserve">    "message":  "Parrying Low",</v>
      </c>
    </row>
    <row r="1091" spans="1:4" x14ac:dyDescent="0.55000000000000004">
      <c r="A1091" t="s">
        <v>764</v>
      </c>
      <c r="B1091" t="str">
        <f>VLOOKUP(B1089,Tabelle3!$A$2:$E$33,5,FALSE)</f>
        <v/>
      </c>
      <c r="C1091" t="s">
        <v>762</v>
      </c>
      <c r="D1091" t="str">
        <f t="shared" si="869"/>
        <v xml:space="preserve">    "nextInstruction":  "",</v>
      </c>
    </row>
    <row r="1092" spans="1:4" x14ac:dyDescent="0.55000000000000004">
      <c r="A1092" t="s">
        <v>765</v>
      </c>
      <c r="B1092">
        <f>VLOOKUP(B1089,Tabelle3!$A$2:$E$33,4,FALSE)</f>
        <v>-4</v>
      </c>
      <c r="D1092" t="str">
        <f t="shared" ref="D1092:D1155" si="880">IF(ISNUMBER(B1092),(A1092&amp;B1092),"")</f>
        <v xml:space="preserve">    "damageModifier": -4</v>
      </c>
    </row>
    <row r="1093" spans="1:4" x14ac:dyDescent="0.55000000000000004">
      <c r="A1093" t="s">
        <v>6</v>
      </c>
      <c r="D1093" t="str">
        <f t="shared" ref="D1093:D1156" si="881">A1093</f>
        <v xml:space="preserve">  },</v>
      </c>
    </row>
    <row r="1094" spans="1:4" x14ac:dyDescent="0.55000000000000004">
      <c r="A1094" t="s">
        <v>185</v>
      </c>
      <c r="D1094" t="str">
        <f t="shared" si="881"/>
        <v xml:space="preserve">  "14-44": {</v>
      </c>
    </row>
    <row r="1095" spans="1:4" x14ac:dyDescent="0.55000000000000004">
      <c r="A1095" t="s">
        <v>58</v>
      </c>
      <c r="B1095">
        <f t="shared" ref="B1095" si="882">_xlfn.NUMBERVALUE(RIGHT(A1095,2))</f>
        <v>19</v>
      </c>
      <c r="D1095" t="str">
        <f t="shared" ref="D1095:D1158" si="883">A1095&amp;","</f>
        <v xml:space="preserve">    "resultPage": 19,</v>
      </c>
    </row>
    <row r="1096" spans="1:4" x14ac:dyDescent="0.55000000000000004">
      <c r="A1096" t="s">
        <v>763</v>
      </c>
      <c r="B1096" t="str">
        <f>VLOOKUP(B1095,Tabelle3!$A$2:$E$33,3,FALSE)</f>
        <v>Struck off Balance</v>
      </c>
      <c r="C1096" t="s">
        <v>762</v>
      </c>
      <c r="D1096" t="str">
        <f t="shared" ref="D1096" si="884">_xlfn.CONCAT(A1096:C1096)</f>
        <v xml:space="preserve">    "message":  "Struck off Balance",</v>
      </c>
    </row>
    <row r="1097" spans="1:4" x14ac:dyDescent="0.55000000000000004">
      <c r="A1097" t="s">
        <v>764</v>
      </c>
      <c r="B1097" t="str">
        <f>VLOOKUP(B1095,Tabelle3!$A$2:$E$33,5,FALSE)</f>
        <v>Only Green Only Yellow</v>
      </c>
      <c r="C1097" t="s">
        <v>762</v>
      </c>
      <c r="D1097" t="str">
        <f t="shared" si="869"/>
        <v xml:space="preserve">    "nextInstruction":  "Only Green Only Yellow",</v>
      </c>
    </row>
    <row r="1098" spans="1:4" x14ac:dyDescent="0.55000000000000004">
      <c r="A1098" t="s">
        <v>765</v>
      </c>
      <c r="B1098">
        <f>VLOOKUP(B1095,Tabelle3!$A$2:$E$33,4,FALSE)</f>
        <v>0</v>
      </c>
      <c r="D1098" t="str">
        <f t="shared" ref="D1098:D1161" si="885">IF(ISNUMBER(B1098),(A1098&amp;B1098),"")</f>
        <v xml:space="preserve">    "damageModifier": 0</v>
      </c>
    </row>
    <row r="1099" spans="1:4" x14ac:dyDescent="0.55000000000000004">
      <c r="A1099" t="s">
        <v>6</v>
      </c>
      <c r="D1099" t="str">
        <f t="shared" ref="D1099:D1162" si="886">A1099</f>
        <v xml:space="preserve">  },</v>
      </c>
    </row>
    <row r="1100" spans="1:4" x14ac:dyDescent="0.55000000000000004">
      <c r="A1100" t="s">
        <v>186</v>
      </c>
      <c r="D1100" t="str">
        <f t="shared" si="886"/>
        <v xml:space="preserve">  "14-46": {</v>
      </c>
    </row>
    <row r="1101" spans="1:4" x14ac:dyDescent="0.55000000000000004">
      <c r="A1101" t="s">
        <v>80</v>
      </c>
      <c r="B1101">
        <f t="shared" ref="B1101" si="887">_xlfn.NUMBERVALUE(RIGHT(A1101,2))</f>
        <v>11</v>
      </c>
      <c r="D1101" t="str">
        <f t="shared" ref="D1101:D1164" si="888">A1101&amp;","</f>
        <v xml:space="preserve">    "resultPage": 11,</v>
      </c>
    </row>
    <row r="1102" spans="1:4" x14ac:dyDescent="0.55000000000000004">
      <c r="A1102" t="s">
        <v>763</v>
      </c>
      <c r="B1102" t="str">
        <f>VLOOKUP(B1101,Tabelle3!$A$2:$E$33,3,FALSE)</f>
        <v>Thrusting Low</v>
      </c>
      <c r="C1102" t="s">
        <v>762</v>
      </c>
      <c r="D1102" t="str">
        <f t="shared" ref="D1102" si="889">_xlfn.CONCAT(A1102:C1102)</f>
        <v xml:space="preserve">    "message":  "Thrusting Low",</v>
      </c>
    </row>
    <row r="1103" spans="1:4" x14ac:dyDescent="0.55000000000000004">
      <c r="A1103" t="s">
        <v>764</v>
      </c>
      <c r="B1103" t="str">
        <f>VLOOKUP(B1101,Tabelle3!$A$2:$E$33,5,FALSE)</f>
        <v>No Red</v>
      </c>
      <c r="C1103" t="s">
        <v>762</v>
      </c>
      <c r="D1103" t="str">
        <f t="shared" si="869"/>
        <v xml:space="preserve">    "nextInstruction":  "No Red",</v>
      </c>
    </row>
    <row r="1104" spans="1:4" x14ac:dyDescent="0.55000000000000004">
      <c r="A1104" t="s">
        <v>765</v>
      </c>
      <c r="B1104" t="str">
        <f>VLOOKUP(B1101,Tabelle3!$A$2:$E$33,4,FALSE)</f>
        <v>""</v>
      </c>
      <c r="D1104" t="str">
        <f t="shared" ref="D1104:D1167" si="890">IF(ISNUMBER(B1104),(A1104&amp;B1104),"")</f>
        <v/>
      </c>
    </row>
    <row r="1105" spans="1:4" x14ac:dyDescent="0.55000000000000004">
      <c r="A1105" t="s">
        <v>6</v>
      </c>
      <c r="D1105" t="str">
        <f t="shared" ref="D1105:D1168" si="891">A1105</f>
        <v xml:space="preserve">  },</v>
      </c>
    </row>
    <row r="1106" spans="1:4" x14ac:dyDescent="0.55000000000000004">
      <c r="A1106" t="s">
        <v>187</v>
      </c>
      <c r="D1106" t="str">
        <f t="shared" si="891"/>
        <v xml:space="preserve">  "14-48": {</v>
      </c>
    </row>
    <row r="1107" spans="1:4" x14ac:dyDescent="0.55000000000000004">
      <c r="A1107" t="s">
        <v>13</v>
      </c>
      <c r="B1107">
        <f t="shared" ref="B1107" si="892">_xlfn.NUMBERVALUE(RIGHT(A1107,2))</f>
        <v>49</v>
      </c>
      <c r="D1107" t="str">
        <f t="shared" ref="D1107:D1170" si="893">A1107&amp;","</f>
        <v xml:space="preserve">    "resultPage": 49,</v>
      </c>
    </row>
    <row r="1108" spans="1:4" x14ac:dyDescent="0.55000000000000004">
      <c r="A1108" t="s">
        <v>763</v>
      </c>
      <c r="B1108" t="str">
        <f>VLOOKUP(B1107,Tabelle3!$A$2:$E$33,3,FALSE)</f>
        <v>Parrying Low</v>
      </c>
      <c r="C1108" t="s">
        <v>762</v>
      </c>
      <c r="D1108" t="str">
        <f t="shared" ref="D1108" si="894">_xlfn.CONCAT(A1108:C1108)</f>
        <v xml:space="preserve">    "message":  "Parrying Low",</v>
      </c>
    </row>
    <row r="1109" spans="1:4" x14ac:dyDescent="0.55000000000000004">
      <c r="A1109" t="s">
        <v>764</v>
      </c>
      <c r="B1109" t="str">
        <f>VLOOKUP(B1107,Tabelle3!$A$2:$E$33,5,FALSE)</f>
        <v/>
      </c>
      <c r="C1109" t="s">
        <v>762</v>
      </c>
      <c r="D1109" t="str">
        <f t="shared" si="869"/>
        <v xml:space="preserve">    "nextInstruction":  "",</v>
      </c>
    </row>
    <row r="1110" spans="1:4" x14ac:dyDescent="0.55000000000000004">
      <c r="A1110" t="s">
        <v>765</v>
      </c>
      <c r="B1110">
        <f>VLOOKUP(B1107,Tabelle3!$A$2:$E$33,4,FALSE)</f>
        <v>-4</v>
      </c>
      <c r="D1110" t="str">
        <f t="shared" ref="D1110:D1173" si="895">IF(ISNUMBER(B1110),(A1110&amp;B1110),"")</f>
        <v xml:space="preserve">    "damageModifier": -4</v>
      </c>
    </row>
    <row r="1111" spans="1:4" x14ac:dyDescent="0.55000000000000004">
      <c r="A1111" t="s">
        <v>6</v>
      </c>
      <c r="D1111" t="str">
        <f t="shared" ref="D1111:D1174" si="896">A1111</f>
        <v xml:space="preserve">  },</v>
      </c>
    </row>
    <row r="1112" spans="1:4" x14ac:dyDescent="0.55000000000000004">
      <c r="A1112" t="s">
        <v>188</v>
      </c>
      <c r="D1112" t="str">
        <f t="shared" si="896"/>
        <v xml:space="preserve">  "16-4": {</v>
      </c>
    </row>
    <row r="1113" spans="1:4" x14ac:dyDescent="0.55000000000000004">
      <c r="A1113" t="s">
        <v>15</v>
      </c>
      <c r="B1113">
        <f t="shared" ref="B1113" si="897">_xlfn.NUMBERVALUE(RIGHT(A1113,2))</f>
        <v>57</v>
      </c>
      <c r="D1113" t="str">
        <f t="shared" ref="D1113:D1176" si="898">A1113&amp;","</f>
        <v xml:space="preserve">    "resultPage": 57,</v>
      </c>
    </row>
    <row r="1114" spans="1:4" x14ac:dyDescent="0.55000000000000004">
      <c r="A1114" t="s">
        <v>763</v>
      </c>
      <c r="B1114" t="str">
        <f>VLOOKUP(B1113,Tabelle3!$A$2:$E$33,3,FALSE)</f>
        <v>Extended Range Blocking</v>
      </c>
      <c r="C1114" t="s">
        <v>762</v>
      </c>
      <c r="D1114" t="str">
        <f t="shared" ref="D1114" si="899">_xlfn.CONCAT(A1114:C1114)</f>
        <v xml:space="preserve">    "message":  "Extended Range Blocking",</v>
      </c>
    </row>
    <row r="1115" spans="1:4" x14ac:dyDescent="0.55000000000000004">
      <c r="A1115" t="s">
        <v>764</v>
      </c>
      <c r="B1115" t="str">
        <f>VLOOKUP(B1113,Tabelle3!$A$2:$E$33,5,FALSE)</f>
        <v>Only Extended Range</v>
      </c>
      <c r="C1115" t="s">
        <v>762</v>
      </c>
      <c r="D1115" t="str">
        <f t="shared" si="869"/>
        <v xml:space="preserve">    "nextInstruction":  "Only Extended Range",</v>
      </c>
    </row>
    <row r="1116" spans="1:4" x14ac:dyDescent="0.55000000000000004">
      <c r="A1116" t="s">
        <v>765</v>
      </c>
      <c r="B1116" t="str">
        <f>VLOOKUP(B1113,Tabelle3!$A$2:$E$33,4,FALSE)</f>
        <v>""</v>
      </c>
      <c r="D1116" t="str">
        <f t="shared" ref="D1116:D1179" si="900">IF(ISNUMBER(B1116),(A1116&amp;B1116),"")</f>
        <v/>
      </c>
    </row>
    <row r="1117" spans="1:4" x14ac:dyDescent="0.55000000000000004">
      <c r="A1117" t="s">
        <v>6</v>
      </c>
      <c r="D1117" t="str">
        <f t="shared" ref="D1117:D1180" si="901">A1117</f>
        <v xml:space="preserve">  },</v>
      </c>
    </row>
    <row r="1118" spans="1:4" x14ac:dyDescent="0.55000000000000004">
      <c r="A1118" t="s">
        <v>189</v>
      </c>
      <c r="D1118" t="str">
        <f t="shared" si="901"/>
        <v xml:space="preserve">  "16-6": {</v>
      </c>
    </row>
    <row r="1119" spans="1:4" x14ac:dyDescent="0.55000000000000004">
      <c r="A1119" t="s">
        <v>58</v>
      </c>
      <c r="B1119">
        <f t="shared" ref="B1119" si="902">_xlfn.NUMBERVALUE(RIGHT(A1119,2))</f>
        <v>19</v>
      </c>
      <c r="D1119" t="str">
        <f t="shared" ref="D1119:D1182" si="903">A1119&amp;","</f>
        <v xml:space="preserve">    "resultPage": 19,</v>
      </c>
    </row>
    <row r="1120" spans="1:4" x14ac:dyDescent="0.55000000000000004">
      <c r="A1120" t="s">
        <v>763</v>
      </c>
      <c r="B1120" t="str">
        <f>VLOOKUP(B1119,Tabelle3!$A$2:$E$33,3,FALSE)</f>
        <v>Struck off Balance</v>
      </c>
      <c r="C1120" t="s">
        <v>762</v>
      </c>
      <c r="D1120" t="str">
        <f t="shared" ref="D1120" si="904">_xlfn.CONCAT(A1120:C1120)</f>
        <v xml:space="preserve">    "message":  "Struck off Balance",</v>
      </c>
    </row>
    <row r="1121" spans="1:4" x14ac:dyDescent="0.55000000000000004">
      <c r="A1121" t="s">
        <v>764</v>
      </c>
      <c r="B1121" t="str">
        <f>VLOOKUP(B1119,Tabelle3!$A$2:$E$33,5,FALSE)</f>
        <v>Only Green Only Yellow</v>
      </c>
      <c r="C1121" t="s">
        <v>762</v>
      </c>
      <c r="D1121" t="str">
        <f t="shared" si="869"/>
        <v xml:space="preserve">    "nextInstruction":  "Only Green Only Yellow",</v>
      </c>
    </row>
    <row r="1122" spans="1:4" x14ac:dyDescent="0.55000000000000004">
      <c r="A1122" t="s">
        <v>765</v>
      </c>
      <c r="B1122">
        <f>VLOOKUP(B1119,Tabelle3!$A$2:$E$33,4,FALSE)</f>
        <v>0</v>
      </c>
      <c r="D1122" t="str">
        <f t="shared" ref="D1122:D1185" si="905">IF(ISNUMBER(B1122),(A1122&amp;B1122),"")</f>
        <v xml:space="preserve">    "damageModifier": 0</v>
      </c>
    </row>
    <row r="1123" spans="1:4" x14ac:dyDescent="0.55000000000000004">
      <c r="A1123" t="s">
        <v>6</v>
      </c>
      <c r="D1123" t="str">
        <f t="shared" ref="D1123:D1186" si="906">A1123</f>
        <v xml:space="preserve">  },</v>
      </c>
    </row>
    <row r="1124" spans="1:4" x14ac:dyDescent="0.55000000000000004">
      <c r="A1124" t="s">
        <v>190</v>
      </c>
      <c r="D1124" t="str">
        <f t="shared" si="906"/>
        <v xml:space="preserve">  "16-8": {</v>
      </c>
    </row>
    <row r="1125" spans="1:4" x14ac:dyDescent="0.55000000000000004">
      <c r="A1125" t="s">
        <v>15</v>
      </c>
      <c r="B1125">
        <f t="shared" ref="B1125" si="907">_xlfn.NUMBERVALUE(RIGHT(A1125,2))</f>
        <v>57</v>
      </c>
      <c r="D1125" t="str">
        <f t="shared" ref="D1125:D1188" si="908">A1125&amp;","</f>
        <v xml:space="preserve">    "resultPage": 57,</v>
      </c>
    </row>
    <row r="1126" spans="1:4" x14ac:dyDescent="0.55000000000000004">
      <c r="A1126" t="s">
        <v>763</v>
      </c>
      <c r="B1126" t="str">
        <f>VLOOKUP(B1125,Tabelle3!$A$2:$E$33,3,FALSE)</f>
        <v>Extended Range Blocking</v>
      </c>
      <c r="C1126" t="s">
        <v>762</v>
      </c>
      <c r="D1126" t="str">
        <f t="shared" ref="D1126" si="909">_xlfn.CONCAT(A1126:C1126)</f>
        <v xml:space="preserve">    "message":  "Extended Range Blocking",</v>
      </c>
    </row>
    <row r="1127" spans="1:4" x14ac:dyDescent="0.55000000000000004">
      <c r="A1127" t="s">
        <v>764</v>
      </c>
      <c r="B1127" t="str">
        <f>VLOOKUP(B1125,Tabelle3!$A$2:$E$33,5,FALSE)</f>
        <v>Only Extended Range</v>
      </c>
      <c r="C1127" t="s">
        <v>762</v>
      </c>
      <c r="D1127" t="str">
        <f t="shared" si="869"/>
        <v xml:space="preserve">    "nextInstruction":  "Only Extended Range",</v>
      </c>
    </row>
    <row r="1128" spans="1:4" x14ac:dyDescent="0.55000000000000004">
      <c r="A1128" t="s">
        <v>765</v>
      </c>
      <c r="B1128" t="str">
        <f>VLOOKUP(B1125,Tabelle3!$A$2:$E$33,4,FALSE)</f>
        <v>""</v>
      </c>
      <c r="D1128" t="str">
        <f t="shared" ref="D1128:D1191" si="910">IF(ISNUMBER(B1128),(A1128&amp;B1128),"")</f>
        <v/>
      </c>
    </row>
    <row r="1129" spans="1:4" x14ac:dyDescent="0.55000000000000004">
      <c r="A1129" t="s">
        <v>6</v>
      </c>
      <c r="D1129" t="str">
        <f t="shared" ref="D1129:D1192" si="911">A1129</f>
        <v xml:space="preserve">  },</v>
      </c>
    </row>
    <row r="1130" spans="1:4" x14ac:dyDescent="0.55000000000000004">
      <c r="A1130" t="s">
        <v>191</v>
      </c>
      <c r="D1130" t="str">
        <f t="shared" si="911"/>
        <v xml:space="preserve">  "16-10": {</v>
      </c>
    </row>
    <row r="1131" spans="1:4" x14ac:dyDescent="0.55000000000000004">
      <c r="A1131" t="s">
        <v>15</v>
      </c>
      <c r="B1131">
        <f t="shared" ref="B1131" si="912">_xlfn.NUMBERVALUE(RIGHT(A1131,2))</f>
        <v>57</v>
      </c>
      <c r="D1131" t="str">
        <f t="shared" ref="D1131:D1194" si="913">A1131&amp;","</f>
        <v xml:space="preserve">    "resultPage": 57,</v>
      </c>
    </row>
    <row r="1132" spans="1:4" x14ac:dyDescent="0.55000000000000004">
      <c r="A1132" t="s">
        <v>763</v>
      </c>
      <c r="B1132" t="str">
        <f>VLOOKUP(B1131,Tabelle3!$A$2:$E$33,3,FALSE)</f>
        <v>Extended Range Blocking</v>
      </c>
      <c r="C1132" t="s">
        <v>762</v>
      </c>
      <c r="D1132" t="str">
        <f t="shared" ref="D1132" si="914">_xlfn.CONCAT(A1132:C1132)</f>
        <v xml:space="preserve">    "message":  "Extended Range Blocking",</v>
      </c>
    </row>
    <row r="1133" spans="1:4" x14ac:dyDescent="0.55000000000000004">
      <c r="A1133" t="s">
        <v>764</v>
      </c>
      <c r="B1133" t="str">
        <f>VLOOKUP(B1131,Tabelle3!$A$2:$E$33,5,FALSE)</f>
        <v>Only Extended Range</v>
      </c>
      <c r="C1133" t="s">
        <v>762</v>
      </c>
      <c r="D1133" t="str">
        <f t="shared" si="869"/>
        <v xml:space="preserve">    "nextInstruction":  "Only Extended Range",</v>
      </c>
    </row>
    <row r="1134" spans="1:4" x14ac:dyDescent="0.55000000000000004">
      <c r="A1134" t="s">
        <v>765</v>
      </c>
      <c r="B1134" t="str">
        <f>VLOOKUP(B1131,Tabelle3!$A$2:$E$33,4,FALSE)</f>
        <v>""</v>
      </c>
      <c r="D1134" t="str">
        <f t="shared" ref="D1134:D1197" si="915">IF(ISNUMBER(B1134),(A1134&amp;B1134),"")</f>
        <v/>
      </c>
    </row>
    <row r="1135" spans="1:4" x14ac:dyDescent="0.55000000000000004">
      <c r="A1135" t="s">
        <v>6</v>
      </c>
      <c r="D1135" t="str">
        <f t="shared" ref="D1135:D1198" si="916">A1135</f>
        <v xml:space="preserve">  },</v>
      </c>
    </row>
    <row r="1136" spans="1:4" x14ac:dyDescent="0.55000000000000004">
      <c r="A1136" t="s">
        <v>192</v>
      </c>
      <c r="D1136" t="str">
        <f t="shared" si="916"/>
        <v xml:space="preserve">  "16-12": {</v>
      </c>
    </row>
    <row r="1137" spans="1:4" x14ac:dyDescent="0.55000000000000004">
      <c r="A1137" t="s">
        <v>15</v>
      </c>
      <c r="B1137">
        <f t="shared" ref="B1137" si="917">_xlfn.NUMBERVALUE(RIGHT(A1137,2))</f>
        <v>57</v>
      </c>
      <c r="D1137" t="str">
        <f t="shared" ref="D1137:D1200" si="918">A1137&amp;","</f>
        <v xml:space="preserve">    "resultPage": 57,</v>
      </c>
    </row>
    <row r="1138" spans="1:4" x14ac:dyDescent="0.55000000000000004">
      <c r="A1138" t="s">
        <v>763</v>
      </c>
      <c r="B1138" t="str">
        <f>VLOOKUP(B1137,Tabelle3!$A$2:$E$33,3,FALSE)</f>
        <v>Extended Range Blocking</v>
      </c>
      <c r="C1138" t="s">
        <v>762</v>
      </c>
      <c r="D1138" t="str">
        <f t="shared" ref="D1138" si="919">_xlfn.CONCAT(A1138:C1138)</f>
        <v xml:space="preserve">    "message":  "Extended Range Blocking",</v>
      </c>
    </row>
    <row r="1139" spans="1:4" x14ac:dyDescent="0.55000000000000004">
      <c r="A1139" t="s">
        <v>764</v>
      </c>
      <c r="B1139" t="str">
        <f>VLOOKUP(B1137,Tabelle3!$A$2:$E$33,5,FALSE)</f>
        <v>Only Extended Range</v>
      </c>
      <c r="C1139" t="s">
        <v>762</v>
      </c>
      <c r="D1139" t="str">
        <f t="shared" si="869"/>
        <v xml:space="preserve">    "nextInstruction":  "Only Extended Range",</v>
      </c>
    </row>
    <row r="1140" spans="1:4" x14ac:dyDescent="0.55000000000000004">
      <c r="A1140" t="s">
        <v>765</v>
      </c>
      <c r="B1140" t="str">
        <f>VLOOKUP(B1137,Tabelle3!$A$2:$E$33,4,FALSE)</f>
        <v>""</v>
      </c>
      <c r="D1140" t="str">
        <f t="shared" ref="D1140:D1203" si="920">IF(ISNUMBER(B1140),(A1140&amp;B1140),"")</f>
        <v/>
      </c>
    </row>
    <row r="1141" spans="1:4" x14ac:dyDescent="0.55000000000000004">
      <c r="A1141" t="s">
        <v>6</v>
      </c>
      <c r="D1141" t="str">
        <f t="shared" ref="D1141:D1204" si="921">A1141</f>
        <v xml:space="preserve">  },</v>
      </c>
    </row>
    <row r="1142" spans="1:4" x14ac:dyDescent="0.55000000000000004">
      <c r="A1142" t="s">
        <v>193</v>
      </c>
      <c r="D1142" t="str">
        <f t="shared" si="921"/>
        <v xml:space="preserve">  "16-14": {</v>
      </c>
    </row>
    <row r="1143" spans="1:4" x14ac:dyDescent="0.55000000000000004">
      <c r="A1143" t="s">
        <v>58</v>
      </c>
      <c r="B1143">
        <f t="shared" ref="B1143" si="922">_xlfn.NUMBERVALUE(RIGHT(A1143,2))</f>
        <v>19</v>
      </c>
      <c r="D1143" t="str">
        <f t="shared" ref="D1143:D1206" si="923">A1143&amp;","</f>
        <v xml:space="preserve">    "resultPage": 19,</v>
      </c>
    </row>
    <row r="1144" spans="1:4" x14ac:dyDescent="0.55000000000000004">
      <c r="A1144" t="s">
        <v>763</v>
      </c>
      <c r="B1144" t="str">
        <f>VLOOKUP(B1143,Tabelle3!$A$2:$E$33,3,FALSE)</f>
        <v>Struck off Balance</v>
      </c>
      <c r="C1144" t="s">
        <v>762</v>
      </c>
      <c r="D1144" t="str">
        <f t="shared" ref="D1144:D1205" si="924">_xlfn.CONCAT(A1144:C1144)</f>
        <v xml:space="preserve">    "message":  "Struck off Balance",</v>
      </c>
    </row>
    <row r="1145" spans="1:4" x14ac:dyDescent="0.55000000000000004">
      <c r="A1145" t="s">
        <v>764</v>
      </c>
      <c r="B1145" t="str">
        <f>VLOOKUP(B1143,Tabelle3!$A$2:$E$33,5,FALSE)</f>
        <v>Only Green Only Yellow</v>
      </c>
      <c r="C1145" t="s">
        <v>762</v>
      </c>
      <c r="D1145" t="str">
        <f t="shared" si="924"/>
        <v xml:space="preserve">    "nextInstruction":  "Only Green Only Yellow",</v>
      </c>
    </row>
    <row r="1146" spans="1:4" x14ac:dyDescent="0.55000000000000004">
      <c r="A1146" t="s">
        <v>765</v>
      </c>
      <c r="B1146">
        <f>VLOOKUP(B1143,Tabelle3!$A$2:$E$33,4,FALSE)</f>
        <v>0</v>
      </c>
      <c r="D1146" t="str">
        <f t="shared" ref="D1146:D1209" si="925">IF(ISNUMBER(B1146),(A1146&amp;B1146),"")</f>
        <v xml:space="preserve">    "damageModifier": 0</v>
      </c>
    </row>
    <row r="1147" spans="1:4" x14ac:dyDescent="0.55000000000000004">
      <c r="A1147" t="s">
        <v>6</v>
      </c>
      <c r="D1147" t="str">
        <f t="shared" ref="D1147:D1210" si="926">A1147</f>
        <v xml:space="preserve">  },</v>
      </c>
    </row>
    <row r="1148" spans="1:4" x14ac:dyDescent="0.55000000000000004">
      <c r="A1148" t="s">
        <v>194</v>
      </c>
      <c r="D1148" t="str">
        <f t="shared" si="926"/>
        <v xml:space="preserve">  "16-16": {</v>
      </c>
    </row>
    <row r="1149" spans="1:4" x14ac:dyDescent="0.55000000000000004">
      <c r="A1149" t="s">
        <v>15</v>
      </c>
      <c r="B1149">
        <f t="shared" ref="B1149" si="927">_xlfn.NUMBERVALUE(RIGHT(A1149,2))</f>
        <v>57</v>
      </c>
      <c r="D1149" t="str">
        <f t="shared" ref="D1149:D1212" si="928">A1149&amp;","</f>
        <v xml:space="preserve">    "resultPage": 57,</v>
      </c>
    </row>
    <row r="1150" spans="1:4" x14ac:dyDescent="0.55000000000000004">
      <c r="A1150" t="s">
        <v>763</v>
      </c>
      <c r="B1150" t="str">
        <f>VLOOKUP(B1149,Tabelle3!$A$2:$E$33,3,FALSE)</f>
        <v>Extended Range Blocking</v>
      </c>
      <c r="C1150" t="s">
        <v>762</v>
      </c>
      <c r="D1150" t="str">
        <f t="shared" ref="D1150" si="929">_xlfn.CONCAT(A1150:C1150)</f>
        <v xml:space="preserve">    "message":  "Extended Range Blocking",</v>
      </c>
    </row>
    <row r="1151" spans="1:4" x14ac:dyDescent="0.55000000000000004">
      <c r="A1151" t="s">
        <v>764</v>
      </c>
      <c r="B1151" t="str">
        <f>VLOOKUP(B1149,Tabelle3!$A$2:$E$33,5,FALSE)</f>
        <v>Only Extended Range</v>
      </c>
      <c r="C1151" t="s">
        <v>762</v>
      </c>
      <c r="D1151" t="str">
        <f t="shared" si="924"/>
        <v xml:space="preserve">    "nextInstruction":  "Only Extended Range",</v>
      </c>
    </row>
    <row r="1152" spans="1:4" x14ac:dyDescent="0.55000000000000004">
      <c r="A1152" t="s">
        <v>765</v>
      </c>
      <c r="B1152" t="str">
        <f>VLOOKUP(B1149,Tabelle3!$A$2:$E$33,4,FALSE)</f>
        <v>""</v>
      </c>
      <c r="D1152" t="str">
        <f t="shared" ref="D1152:D1215" si="930">IF(ISNUMBER(B1152),(A1152&amp;B1152),"")</f>
        <v/>
      </c>
    </row>
    <row r="1153" spans="1:4" x14ac:dyDescent="0.55000000000000004">
      <c r="A1153" t="s">
        <v>6</v>
      </c>
      <c r="D1153" t="str">
        <f t="shared" ref="D1153:D1216" si="931">A1153</f>
        <v xml:space="preserve">  },</v>
      </c>
    </row>
    <row r="1154" spans="1:4" x14ac:dyDescent="0.55000000000000004">
      <c r="A1154" t="s">
        <v>195</v>
      </c>
      <c r="D1154" t="str">
        <f t="shared" si="931"/>
        <v xml:space="preserve">  "16-18": {</v>
      </c>
    </row>
    <row r="1155" spans="1:4" x14ac:dyDescent="0.55000000000000004">
      <c r="A1155" t="s">
        <v>15</v>
      </c>
      <c r="B1155">
        <f t="shared" ref="B1155" si="932">_xlfn.NUMBERVALUE(RIGHT(A1155,2))</f>
        <v>57</v>
      </c>
      <c r="D1155" t="str">
        <f t="shared" ref="D1155:D1218" si="933">A1155&amp;","</f>
        <v xml:space="preserve">    "resultPage": 57,</v>
      </c>
    </row>
    <row r="1156" spans="1:4" x14ac:dyDescent="0.55000000000000004">
      <c r="A1156" t="s">
        <v>763</v>
      </c>
      <c r="B1156" t="str">
        <f>VLOOKUP(B1155,Tabelle3!$A$2:$E$33,3,FALSE)</f>
        <v>Extended Range Blocking</v>
      </c>
      <c r="C1156" t="s">
        <v>762</v>
      </c>
      <c r="D1156" t="str">
        <f t="shared" ref="D1156" si="934">_xlfn.CONCAT(A1156:C1156)</f>
        <v xml:space="preserve">    "message":  "Extended Range Blocking",</v>
      </c>
    </row>
    <row r="1157" spans="1:4" x14ac:dyDescent="0.55000000000000004">
      <c r="A1157" t="s">
        <v>764</v>
      </c>
      <c r="B1157" t="str">
        <f>VLOOKUP(B1155,Tabelle3!$A$2:$E$33,5,FALSE)</f>
        <v>Only Extended Range</v>
      </c>
      <c r="C1157" t="s">
        <v>762</v>
      </c>
      <c r="D1157" t="str">
        <f t="shared" si="924"/>
        <v xml:space="preserve">    "nextInstruction":  "Only Extended Range",</v>
      </c>
    </row>
    <row r="1158" spans="1:4" x14ac:dyDescent="0.55000000000000004">
      <c r="A1158" t="s">
        <v>765</v>
      </c>
      <c r="B1158" t="str">
        <f>VLOOKUP(B1155,Tabelle3!$A$2:$E$33,4,FALSE)</f>
        <v>""</v>
      </c>
      <c r="D1158" t="str">
        <f t="shared" ref="D1158:D1221" si="935">IF(ISNUMBER(B1158),(A1158&amp;B1158),"")</f>
        <v/>
      </c>
    </row>
    <row r="1159" spans="1:4" x14ac:dyDescent="0.55000000000000004">
      <c r="A1159" t="s">
        <v>6</v>
      </c>
      <c r="D1159" t="str">
        <f t="shared" ref="D1159:D1222" si="936">A1159</f>
        <v xml:space="preserve">  },</v>
      </c>
    </row>
    <row r="1160" spans="1:4" x14ac:dyDescent="0.55000000000000004">
      <c r="A1160" t="s">
        <v>196</v>
      </c>
      <c r="D1160" t="str">
        <f t="shared" si="936"/>
        <v xml:space="preserve">  "16-20": {</v>
      </c>
    </row>
    <row r="1161" spans="1:4" x14ac:dyDescent="0.55000000000000004">
      <c r="A1161" t="s">
        <v>15</v>
      </c>
      <c r="B1161">
        <f t="shared" ref="B1161" si="937">_xlfn.NUMBERVALUE(RIGHT(A1161,2))</f>
        <v>57</v>
      </c>
      <c r="D1161" t="str">
        <f t="shared" ref="D1161:D1224" si="938">A1161&amp;","</f>
        <v xml:space="preserve">    "resultPage": 57,</v>
      </c>
    </row>
    <row r="1162" spans="1:4" x14ac:dyDescent="0.55000000000000004">
      <c r="A1162" t="s">
        <v>763</v>
      </c>
      <c r="B1162" t="str">
        <f>VLOOKUP(B1161,Tabelle3!$A$2:$E$33,3,FALSE)</f>
        <v>Extended Range Blocking</v>
      </c>
      <c r="C1162" t="s">
        <v>762</v>
      </c>
      <c r="D1162" t="str">
        <f t="shared" ref="D1162" si="939">_xlfn.CONCAT(A1162:C1162)</f>
        <v xml:space="preserve">    "message":  "Extended Range Blocking",</v>
      </c>
    </row>
    <row r="1163" spans="1:4" x14ac:dyDescent="0.55000000000000004">
      <c r="A1163" t="s">
        <v>764</v>
      </c>
      <c r="B1163" t="str">
        <f>VLOOKUP(B1161,Tabelle3!$A$2:$E$33,5,FALSE)</f>
        <v>Only Extended Range</v>
      </c>
      <c r="C1163" t="s">
        <v>762</v>
      </c>
      <c r="D1163" t="str">
        <f t="shared" si="924"/>
        <v xml:space="preserve">    "nextInstruction":  "Only Extended Range",</v>
      </c>
    </row>
    <row r="1164" spans="1:4" x14ac:dyDescent="0.55000000000000004">
      <c r="A1164" t="s">
        <v>765</v>
      </c>
      <c r="B1164" t="str">
        <f>VLOOKUP(B1161,Tabelle3!$A$2:$E$33,4,FALSE)</f>
        <v>""</v>
      </c>
      <c r="D1164" t="str">
        <f t="shared" ref="D1164:D1227" si="940">IF(ISNUMBER(B1164),(A1164&amp;B1164),"")</f>
        <v/>
      </c>
    </row>
    <row r="1165" spans="1:4" x14ac:dyDescent="0.55000000000000004">
      <c r="A1165" t="s">
        <v>6</v>
      </c>
      <c r="D1165" t="str">
        <f t="shared" ref="D1165:D1228" si="941">A1165</f>
        <v xml:space="preserve">  },</v>
      </c>
    </row>
    <row r="1166" spans="1:4" x14ac:dyDescent="0.55000000000000004">
      <c r="A1166" t="s">
        <v>197</v>
      </c>
      <c r="D1166" t="str">
        <f t="shared" si="941"/>
        <v xml:space="preserve">  "16-22": {</v>
      </c>
    </row>
    <row r="1167" spans="1:4" x14ac:dyDescent="0.55000000000000004">
      <c r="A1167" t="s">
        <v>58</v>
      </c>
      <c r="B1167">
        <f t="shared" ref="B1167" si="942">_xlfn.NUMBERVALUE(RIGHT(A1167,2))</f>
        <v>19</v>
      </c>
      <c r="D1167" t="str">
        <f t="shared" ref="D1167:D1230" si="943">A1167&amp;","</f>
        <v xml:space="preserve">    "resultPage": 19,</v>
      </c>
    </row>
    <row r="1168" spans="1:4" x14ac:dyDescent="0.55000000000000004">
      <c r="A1168" t="s">
        <v>763</v>
      </c>
      <c r="B1168" t="str">
        <f>VLOOKUP(B1167,Tabelle3!$A$2:$E$33,3,FALSE)</f>
        <v>Struck off Balance</v>
      </c>
      <c r="C1168" t="s">
        <v>762</v>
      </c>
      <c r="D1168" t="str">
        <f t="shared" ref="D1168" si="944">_xlfn.CONCAT(A1168:C1168)</f>
        <v xml:space="preserve">    "message":  "Struck off Balance",</v>
      </c>
    </row>
    <row r="1169" spans="1:4" x14ac:dyDescent="0.55000000000000004">
      <c r="A1169" t="s">
        <v>764</v>
      </c>
      <c r="B1169" t="str">
        <f>VLOOKUP(B1167,Tabelle3!$A$2:$E$33,5,FALSE)</f>
        <v>Only Green Only Yellow</v>
      </c>
      <c r="C1169" t="s">
        <v>762</v>
      </c>
      <c r="D1169" t="str">
        <f t="shared" si="924"/>
        <v xml:space="preserve">    "nextInstruction":  "Only Green Only Yellow",</v>
      </c>
    </row>
    <row r="1170" spans="1:4" x14ac:dyDescent="0.55000000000000004">
      <c r="A1170" t="s">
        <v>765</v>
      </c>
      <c r="B1170">
        <f>VLOOKUP(B1167,Tabelle3!$A$2:$E$33,4,FALSE)</f>
        <v>0</v>
      </c>
      <c r="D1170" t="str">
        <f t="shared" ref="D1170:D1233" si="945">IF(ISNUMBER(B1170),(A1170&amp;B1170),"")</f>
        <v xml:space="preserve">    "damageModifier": 0</v>
      </c>
    </row>
    <row r="1171" spans="1:4" x14ac:dyDescent="0.55000000000000004">
      <c r="A1171" t="s">
        <v>6</v>
      </c>
      <c r="D1171" t="str">
        <f t="shared" ref="D1171:D1234" si="946">A1171</f>
        <v xml:space="preserve">  },</v>
      </c>
    </row>
    <row r="1172" spans="1:4" x14ac:dyDescent="0.55000000000000004">
      <c r="A1172" t="s">
        <v>198</v>
      </c>
      <c r="D1172" t="str">
        <f t="shared" si="946"/>
        <v xml:space="preserve">  "16-24": {</v>
      </c>
    </row>
    <row r="1173" spans="1:4" x14ac:dyDescent="0.55000000000000004">
      <c r="A1173" t="s">
        <v>199</v>
      </c>
      <c r="B1173">
        <f t="shared" ref="B1173" si="947">_xlfn.NUMBERVALUE(RIGHT(A1173,2))</f>
        <v>1</v>
      </c>
      <c r="D1173" t="str">
        <f t="shared" ref="D1173:D1236" si="948">A1173&amp;","</f>
        <v xml:space="preserve">    "resultPage": 1,</v>
      </c>
    </row>
    <row r="1174" spans="1:4" x14ac:dyDescent="0.55000000000000004">
      <c r="A1174" t="s">
        <v>763</v>
      </c>
      <c r="B1174" t="str">
        <f>VLOOKUP(B1173,Tabelle3!$A$2:$E$33,3,FALSE)</f>
        <v>Jumping Away</v>
      </c>
      <c r="C1174" t="s">
        <v>762</v>
      </c>
      <c r="D1174" t="str">
        <f t="shared" ref="D1174" si="949">_xlfn.CONCAT(A1174:C1174)</f>
        <v xml:space="preserve">    "message":  "Jumping Away",</v>
      </c>
    </row>
    <row r="1175" spans="1:4" x14ac:dyDescent="0.55000000000000004">
      <c r="A1175" t="s">
        <v>764</v>
      </c>
      <c r="B1175" t="str">
        <f>VLOOKUP(B1173,Tabelle3!$A$2:$E$33,5,FALSE)</f>
        <v>Add + 2 to your Score</v>
      </c>
      <c r="C1175" t="s">
        <v>762</v>
      </c>
      <c r="D1175" t="str">
        <f t="shared" si="924"/>
        <v xml:space="preserve">    "nextInstruction":  "Add + 2 to your Score",</v>
      </c>
    </row>
    <row r="1176" spans="1:4" x14ac:dyDescent="0.55000000000000004">
      <c r="A1176" t="s">
        <v>765</v>
      </c>
      <c r="B1176" t="str">
        <f>VLOOKUP(B1173,Tabelle3!$A$2:$E$33,4,FALSE)</f>
        <v>""</v>
      </c>
      <c r="D1176" t="str">
        <f t="shared" ref="D1176:D1239" si="950">IF(ISNUMBER(B1176),(A1176&amp;B1176),"")</f>
        <v/>
      </c>
    </row>
    <row r="1177" spans="1:4" x14ac:dyDescent="0.55000000000000004">
      <c r="A1177" t="s">
        <v>6</v>
      </c>
      <c r="D1177" t="str">
        <f t="shared" ref="D1177:D1240" si="951">A1177</f>
        <v xml:space="preserve">  },</v>
      </c>
    </row>
    <row r="1178" spans="1:4" x14ac:dyDescent="0.55000000000000004">
      <c r="A1178" t="s">
        <v>200</v>
      </c>
      <c r="D1178" t="str">
        <f t="shared" si="951"/>
        <v xml:space="preserve">  "16-26": {</v>
      </c>
    </row>
    <row r="1179" spans="1:4" x14ac:dyDescent="0.55000000000000004">
      <c r="A1179" t="s">
        <v>15</v>
      </c>
      <c r="B1179">
        <f t="shared" ref="B1179" si="952">_xlfn.NUMBERVALUE(RIGHT(A1179,2))</f>
        <v>57</v>
      </c>
      <c r="D1179" t="str">
        <f t="shared" ref="D1179:D1242" si="953">A1179&amp;","</f>
        <v xml:space="preserve">    "resultPage": 57,</v>
      </c>
    </row>
    <row r="1180" spans="1:4" x14ac:dyDescent="0.55000000000000004">
      <c r="A1180" t="s">
        <v>763</v>
      </c>
      <c r="B1180" t="str">
        <f>VLOOKUP(B1179,Tabelle3!$A$2:$E$33,3,FALSE)</f>
        <v>Extended Range Blocking</v>
      </c>
      <c r="C1180" t="s">
        <v>762</v>
      </c>
      <c r="D1180" t="str">
        <f t="shared" ref="D1180" si="954">_xlfn.CONCAT(A1180:C1180)</f>
        <v xml:space="preserve">    "message":  "Extended Range Blocking",</v>
      </c>
    </row>
    <row r="1181" spans="1:4" x14ac:dyDescent="0.55000000000000004">
      <c r="A1181" t="s">
        <v>764</v>
      </c>
      <c r="B1181" t="str">
        <f>VLOOKUP(B1179,Tabelle3!$A$2:$E$33,5,FALSE)</f>
        <v>Only Extended Range</v>
      </c>
      <c r="C1181" t="s">
        <v>762</v>
      </c>
      <c r="D1181" t="str">
        <f t="shared" si="924"/>
        <v xml:space="preserve">    "nextInstruction":  "Only Extended Range",</v>
      </c>
    </row>
    <row r="1182" spans="1:4" x14ac:dyDescent="0.55000000000000004">
      <c r="A1182" t="s">
        <v>765</v>
      </c>
      <c r="B1182" t="str">
        <f>VLOOKUP(B1179,Tabelle3!$A$2:$E$33,4,FALSE)</f>
        <v>""</v>
      </c>
      <c r="D1182" t="str">
        <f t="shared" ref="D1182:D1245" si="955">IF(ISNUMBER(B1182),(A1182&amp;B1182),"")</f>
        <v/>
      </c>
    </row>
    <row r="1183" spans="1:4" x14ac:dyDescent="0.55000000000000004">
      <c r="A1183" t="s">
        <v>6</v>
      </c>
      <c r="D1183" t="str">
        <f t="shared" ref="D1183:D1246" si="956">A1183</f>
        <v xml:space="preserve">  },</v>
      </c>
    </row>
    <row r="1184" spans="1:4" x14ac:dyDescent="0.55000000000000004">
      <c r="A1184" t="s">
        <v>201</v>
      </c>
      <c r="D1184" t="str">
        <f t="shared" si="956"/>
        <v xml:space="preserve">  "16-28": {</v>
      </c>
    </row>
    <row r="1185" spans="1:4" x14ac:dyDescent="0.55000000000000004">
      <c r="A1185" t="s">
        <v>96</v>
      </c>
      <c r="B1185">
        <f t="shared" ref="B1185" si="957">_xlfn.NUMBERVALUE(RIGHT(A1185,2))</f>
        <v>23</v>
      </c>
      <c r="D1185" t="str">
        <f t="shared" ref="D1185:D1248" si="958">A1185&amp;","</f>
        <v xml:space="preserve">    "resultPage": 23,</v>
      </c>
    </row>
    <row r="1186" spans="1:4" x14ac:dyDescent="0.55000000000000004">
      <c r="A1186" t="s">
        <v>763</v>
      </c>
      <c r="B1186" t="str">
        <f>VLOOKUP(B1185,Tabelle3!$A$2:$E$33,3,FALSE)</f>
        <v>Behind You</v>
      </c>
      <c r="C1186" t="s">
        <v>762</v>
      </c>
      <c r="D1186" t="str">
        <f t="shared" ref="D1186" si="959">_xlfn.CONCAT(A1186:C1186)</f>
        <v xml:space="preserve">    "message":  "Behind You",</v>
      </c>
    </row>
    <row r="1187" spans="1:4" x14ac:dyDescent="0.55000000000000004">
      <c r="A1187" t="s">
        <v>764</v>
      </c>
      <c r="B1187" t="str">
        <f>VLOOKUP(B1185,Tabelle3!$A$2:$E$33,5,FALSE)</f>
        <v/>
      </c>
      <c r="C1187" t="s">
        <v>762</v>
      </c>
      <c r="D1187" t="str">
        <f t="shared" si="924"/>
        <v xml:space="preserve">    "nextInstruction":  "",</v>
      </c>
    </row>
    <row r="1188" spans="1:4" x14ac:dyDescent="0.55000000000000004">
      <c r="A1188" t="s">
        <v>765</v>
      </c>
      <c r="B1188" t="str">
        <f>VLOOKUP(B1185,Tabelle3!$A$2:$E$33,4,FALSE)</f>
        <v>""</v>
      </c>
      <c r="D1188" t="str">
        <f t="shared" ref="D1188:D1251" si="960">IF(ISNUMBER(B1188),(A1188&amp;B1188),"")</f>
        <v/>
      </c>
    </row>
    <row r="1189" spans="1:4" x14ac:dyDescent="0.55000000000000004">
      <c r="A1189" t="s">
        <v>6</v>
      </c>
      <c r="D1189" t="str">
        <f t="shared" ref="D1189:D1252" si="961">A1189</f>
        <v xml:space="preserve">  },</v>
      </c>
    </row>
    <row r="1190" spans="1:4" x14ac:dyDescent="0.55000000000000004">
      <c r="A1190" t="s">
        <v>202</v>
      </c>
      <c r="D1190" t="str">
        <f t="shared" si="961"/>
        <v xml:space="preserve">  "16-30": {</v>
      </c>
    </row>
    <row r="1191" spans="1:4" x14ac:dyDescent="0.55000000000000004">
      <c r="A1191" t="s">
        <v>15</v>
      </c>
      <c r="B1191">
        <f t="shared" ref="B1191" si="962">_xlfn.NUMBERVALUE(RIGHT(A1191,2))</f>
        <v>57</v>
      </c>
      <c r="D1191" t="str">
        <f t="shared" ref="D1191:D1254" si="963">A1191&amp;","</f>
        <v xml:space="preserve">    "resultPage": 57,</v>
      </c>
    </row>
    <row r="1192" spans="1:4" x14ac:dyDescent="0.55000000000000004">
      <c r="A1192" t="s">
        <v>763</v>
      </c>
      <c r="B1192" t="str">
        <f>VLOOKUP(B1191,Tabelle3!$A$2:$E$33,3,FALSE)</f>
        <v>Extended Range Blocking</v>
      </c>
      <c r="C1192" t="s">
        <v>762</v>
      </c>
      <c r="D1192" t="str">
        <f t="shared" ref="D1192" si="964">_xlfn.CONCAT(A1192:C1192)</f>
        <v xml:space="preserve">    "message":  "Extended Range Blocking",</v>
      </c>
    </row>
    <row r="1193" spans="1:4" x14ac:dyDescent="0.55000000000000004">
      <c r="A1193" t="s">
        <v>764</v>
      </c>
      <c r="B1193" t="str">
        <f>VLOOKUP(B1191,Tabelle3!$A$2:$E$33,5,FALSE)</f>
        <v>Only Extended Range</v>
      </c>
      <c r="C1193" t="s">
        <v>762</v>
      </c>
      <c r="D1193" t="str">
        <f t="shared" si="924"/>
        <v xml:space="preserve">    "nextInstruction":  "Only Extended Range",</v>
      </c>
    </row>
    <row r="1194" spans="1:4" x14ac:dyDescent="0.55000000000000004">
      <c r="A1194" t="s">
        <v>765</v>
      </c>
      <c r="B1194" t="str">
        <f>VLOOKUP(B1191,Tabelle3!$A$2:$E$33,4,FALSE)</f>
        <v>""</v>
      </c>
      <c r="D1194" t="str">
        <f t="shared" ref="D1194:D1257" si="965">IF(ISNUMBER(B1194),(A1194&amp;B1194),"")</f>
        <v/>
      </c>
    </row>
    <row r="1195" spans="1:4" x14ac:dyDescent="0.55000000000000004">
      <c r="A1195" t="s">
        <v>6</v>
      </c>
      <c r="D1195" t="str">
        <f t="shared" ref="D1195:D1258" si="966">A1195</f>
        <v xml:space="preserve">  },</v>
      </c>
    </row>
    <row r="1196" spans="1:4" x14ac:dyDescent="0.55000000000000004">
      <c r="A1196" t="s">
        <v>203</v>
      </c>
      <c r="D1196" t="str">
        <f t="shared" si="966"/>
        <v xml:space="preserve">  "16-32": {</v>
      </c>
    </row>
    <row r="1197" spans="1:4" x14ac:dyDescent="0.55000000000000004">
      <c r="A1197" t="s">
        <v>58</v>
      </c>
      <c r="B1197">
        <f t="shared" ref="B1197" si="967">_xlfn.NUMBERVALUE(RIGHT(A1197,2))</f>
        <v>19</v>
      </c>
      <c r="D1197" t="str">
        <f t="shared" ref="D1197:D1260" si="968">A1197&amp;","</f>
        <v xml:space="preserve">    "resultPage": 19,</v>
      </c>
    </row>
    <row r="1198" spans="1:4" x14ac:dyDescent="0.55000000000000004">
      <c r="A1198" t="s">
        <v>763</v>
      </c>
      <c r="B1198" t="str">
        <f>VLOOKUP(B1197,Tabelle3!$A$2:$E$33,3,FALSE)</f>
        <v>Struck off Balance</v>
      </c>
      <c r="C1198" t="s">
        <v>762</v>
      </c>
      <c r="D1198" t="str">
        <f t="shared" ref="D1198" si="969">_xlfn.CONCAT(A1198:C1198)</f>
        <v xml:space="preserve">    "message":  "Struck off Balance",</v>
      </c>
    </row>
    <row r="1199" spans="1:4" x14ac:dyDescent="0.55000000000000004">
      <c r="A1199" t="s">
        <v>764</v>
      </c>
      <c r="B1199" t="str">
        <f>VLOOKUP(B1197,Tabelle3!$A$2:$E$33,5,FALSE)</f>
        <v>Only Green Only Yellow</v>
      </c>
      <c r="C1199" t="s">
        <v>762</v>
      </c>
      <c r="D1199" t="str">
        <f t="shared" si="924"/>
        <v xml:space="preserve">    "nextInstruction":  "Only Green Only Yellow",</v>
      </c>
    </row>
    <row r="1200" spans="1:4" x14ac:dyDescent="0.55000000000000004">
      <c r="A1200" t="s">
        <v>765</v>
      </c>
      <c r="B1200">
        <f>VLOOKUP(B1197,Tabelle3!$A$2:$E$33,4,FALSE)</f>
        <v>0</v>
      </c>
      <c r="D1200" t="str">
        <f t="shared" ref="D1200:D1263" si="970">IF(ISNUMBER(B1200),(A1200&amp;B1200),"")</f>
        <v xml:space="preserve">    "damageModifier": 0</v>
      </c>
    </row>
    <row r="1201" spans="1:4" x14ac:dyDescent="0.55000000000000004">
      <c r="A1201" t="s">
        <v>6</v>
      </c>
      <c r="D1201" t="str">
        <f t="shared" ref="D1201:D1264" si="971">A1201</f>
        <v xml:space="preserve">  },</v>
      </c>
    </row>
    <row r="1202" spans="1:4" x14ac:dyDescent="0.55000000000000004">
      <c r="A1202" t="s">
        <v>204</v>
      </c>
      <c r="D1202" t="str">
        <f t="shared" si="971"/>
        <v xml:space="preserve">  "16-34": {</v>
      </c>
    </row>
    <row r="1203" spans="1:4" x14ac:dyDescent="0.55000000000000004">
      <c r="A1203" t="s">
        <v>199</v>
      </c>
      <c r="B1203">
        <f t="shared" ref="B1203" si="972">_xlfn.NUMBERVALUE(RIGHT(A1203,2))</f>
        <v>1</v>
      </c>
      <c r="D1203" t="str">
        <f t="shared" ref="D1203:D1266" si="973">A1203&amp;","</f>
        <v xml:space="preserve">    "resultPage": 1,</v>
      </c>
    </row>
    <row r="1204" spans="1:4" x14ac:dyDescent="0.55000000000000004">
      <c r="A1204" t="s">
        <v>763</v>
      </c>
      <c r="B1204" t="str">
        <f>VLOOKUP(B1203,Tabelle3!$A$2:$E$33,3,FALSE)</f>
        <v>Jumping Away</v>
      </c>
      <c r="C1204" t="s">
        <v>762</v>
      </c>
      <c r="D1204" t="str">
        <f t="shared" ref="D1204" si="974">_xlfn.CONCAT(A1204:C1204)</f>
        <v xml:space="preserve">    "message":  "Jumping Away",</v>
      </c>
    </row>
    <row r="1205" spans="1:4" x14ac:dyDescent="0.55000000000000004">
      <c r="A1205" t="s">
        <v>764</v>
      </c>
      <c r="B1205" t="str">
        <f>VLOOKUP(B1203,Tabelle3!$A$2:$E$33,5,FALSE)</f>
        <v>Add + 2 to your Score</v>
      </c>
      <c r="C1205" t="s">
        <v>762</v>
      </c>
      <c r="D1205" t="str">
        <f t="shared" si="924"/>
        <v xml:space="preserve">    "nextInstruction":  "Add + 2 to your Score",</v>
      </c>
    </row>
    <row r="1206" spans="1:4" x14ac:dyDescent="0.55000000000000004">
      <c r="A1206" t="s">
        <v>765</v>
      </c>
      <c r="B1206" t="str">
        <f>VLOOKUP(B1203,Tabelle3!$A$2:$E$33,4,FALSE)</f>
        <v>""</v>
      </c>
      <c r="D1206" t="str">
        <f t="shared" ref="D1206:D1269" si="975">IF(ISNUMBER(B1206),(A1206&amp;B1206),"")</f>
        <v/>
      </c>
    </row>
    <row r="1207" spans="1:4" x14ac:dyDescent="0.55000000000000004">
      <c r="A1207" t="s">
        <v>6</v>
      </c>
      <c r="D1207" t="str">
        <f t="shared" ref="D1207:D1270" si="976">A1207</f>
        <v xml:space="preserve">  },</v>
      </c>
    </row>
    <row r="1208" spans="1:4" x14ac:dyDescent="0.55000000000000004">
      <c r="A1208" t="s">
        <v>205</v>
      </c>
      <c r="D1208" t="str">
        <f t="shared" si="976"/>
        <v xml:space="preserve">  "16-36": {</v>
      </c>
    </row>
    <row r="1209" spans="1:4" x14ac:dyDescent="0.55000000000000004">
      <c r="A1209" t="s">
        <v>199</v>
      </c>
      <c r="B1209">
        <f t="shared" ref="B1209" si="977">_xlfn.NUMBERVALUE(RIGHT(A1209,2))</f>
        <v>1</v>
      </c>
      <c r="D1209" t="str">
        <f t="shared" ref="D1209:D1272" si="978">A1209&amp;","</f>
        <v xml:space="preserve">    "resultPage": 1,</v>
      </c>
    </row>
    <row r="1210" spans="1:4" x14ac:dyDescent="0.55000000000000004">
      <c r="A1210" t="s">
        <v>763</v>
      </c>
      <c r="B1210" t="str">
        <f>VLOOKUP(B1209,Tabelle3!$A$2:$E$33,3,FALSE)</f>
        <v>Jumping Away</v>
      </c>
      <c r="C1210" t="s">
        <v>762</v>
      </c>
      <c r="D1210" t="str">
        <f t="shared" ref="D1210:D1271" si="979">_xlfn.CONCAT(A1210:C1210)</f>
        <v xml:space="preserve">    "message":  "Jumping Away",</v>
      </c>
    </row>
    <row r="1211" spans="1:4" x14ac:dyDescent="0.55000000000000004">
      <c r="A1211" t="s">
        <v>764</v>
      </c>
      <c r="B1211" t="str">
        <f>VLOOKUP(B1209,Tabelle3!$A$2:$E$33,5,FALSE)</f>
        <v>Add + 2 to your Score</v>
      </c>
      <c r="C1211" t="s">
        <v>762</v>
      </c>
      <c r="D1211" t="str">
        <f t="shared" si="979"/>
        <v xml:space="preserve">    "nextInstruction":  "Add + 2 to your Score",</v>
      </c>
    </row>
    <row r="1212" spans="1:4" x14ac:dyDescent="0.55000000000000004">
      <c r="A1212" t="s">
        <v>765</v>
      </c>
      <c r="B1212" t="str">
        <f>VLOOKUP(B1209,Tabelle3!$A$2:$E$33,4,FALSE)</f>
        <v>""</v>
      </c>
      <c r="D1212" t="str">
        <f t="shared" ref="D1212:D1275" si="980">IF(ISNUMBER(B1212),(A1212&amp;B1212),"")</f>
        <v/>
      </c>
    </row>
    <row r="1213" spans="1:4" x14ac:dyDescent="0.55000000000000004">
      <c r="A1213" t="s">
        <v>6</v>
      </c>
      <c r="D1213" t="str">
        <f t="shared" ref="D1213:D1276" si="981">A1213</f>
        <v xml:space="preserve">  },</v>
      </c>
    </row>
    <row r="1214" spans="1:4" x14ac:dyDescent="0.55000000000000004">
      <c r="A1214" t="s">
        <v>206</v>
      </c>
      <c r="D1214" t="str">
        <f t="shared" si="981"/>
        <v xml:space="preserve">  "16-38": {</v>
      </c>
    </row>
    <row r="1215" spans="1:4" x14ac:dyDescent="0.55000000000000004">
      <c r="A1215" t="s">
        <v>15</v>
      </c>
      <c r="B1215">
        <f t="shared" ref="B1215" si="982">_xlfn.NUMBERVALUE(RIGHT(A1215,2))</f>
        <v>57</v>
      </c>
      <c r="D1215" t="str">
        <f t="shared" ref="D1215:D1278" si="983">A1215&amp;","</f>
        <v xml:space="preserve">    "resultPage": 57,</v>
      </c>
    </row>
    <row r="1216" spans="1:4" x14ac:dyDescent="0.55000000000000004">
      <c r="A1216" t="s">
        <v>763</v>
      </c>
      <c r="B1216" t="str">
        <f>VLOOKUP(B1215,Tabelle3!$A$2:$E$33,3,FALSE)</f>
        <v>Extended Range Blocking</v>
      </c>
      <c r="C1216" t="s">
        <v>762</v>
      </c>
      <c r="D1216" t="str">
        <f t="shared" ref="D1216" si="984">_xlfn.CONCAT(A1216:C1216)</f>
        <v xml:space="preserve">    "message":  "Extended Range Blocking",</v>
      </c>
    </row>
    <row r="1217" spans="1:4" x14ac:dyDescent="0.55000000000000004">
      <c r="A1217" t="s">
        <v>764</v>
      </c>
      <c r="B1217" t="str">
        <f>VLOOKUP(B1215,Tabelle3!$A$2:$E$33,5,FALSE)</f>
        <v>Only Extended Range</v>
      </c>
      <c r="C1217" t="s">
        <v>762</v>
      </c>
      <c r="D1217" t="str">
        <f t="shared" si="979"/>
        <v xml:space="preserve">    "nextInstruction":  "Only Extended Range",</v>
      </c>
    </row>
    <row r="1218" spans="1:4" x14ac:dyDescent="0.55000000000000004">
      <c r="A1218" t="s">
        <v>765</v>
      </c>
      <c r="B1218" t="str">
        <f>VLOOKUP(B1215,Tabelle3!$A$2:$E$33,4,FALSE)</f>
        <v>""</v>
      </c>
      <c r="D1218" t="str">
        <f t="shared" ref="D1218:D1281" si="985">IF(ISNUMBER(B1218),(A1218&amp;B1218),"")</f>
        <v/>
      </c>
    </row>
    <row r="1219" spans="1:4" x14ac:dyDescent="0.55000000000000004">
      <c r="A1219" t="s">
        <v>6</v>
      </c>
      <c r="D1219" t="str">
        <f t="shared" ref="D1219:D1282" si="986">A1219</f>
        <v xml:space="preserve">  },</v>
      </c>
    </row>
    <row r="1220" spans="1:4" x14ac:dyDescent="0.55000000000000004">
      <c r="A1220" t="s">
        <v>207</v>
      </c>
      <c r="D1220" t="str">
        <f t="shared" si="986"/>
        <v xml:space="preserve">  "16-40": {</v>
      </c>
    </row>
    <row r="1221" spans="1:4" x14ac:dyDescent="0.55000000000000004">
      <c r="A1221" t="s">
        <v>96</v>
      </c>
      <c r="B1221">
        <f t="shared" ref="B1221" si="987">_xlfn.NUMBERVALUE(RIGHT(A1221,2))</f>
        <v>23</v>
      </c>
      <c r="D1221" t="str">
        <f t="shared" ref="D1221:D1284" si="988">A1221&amp;","</f>
        <v xml:space="preserve">    "resultPage": 23,</v>
      </c>
    </row>
    <row r="1222" spans="1:4" x14ac:dyDescent="0.55000000000000004">
      <c r="A1222" t="s">
        <v>763</v>
      </c>
      <c r="B1222" t="str">
        <f>VLOOKUP(B1221,Tabelle3!$A$2:$E$33,3,FALSE)</f>
        <v>Behind You</v>
      </c>
      <c r="C1222" t="s">
        <v>762</v>
      </c>
      <c r="D1222" t="str">
        <f t="shared" ref="D1222" si="989">_xlfn.CONCAT(A1222:C1222)</f>
        <v xml:space="preserve">    "message":  "Behind You",</v>
      </c>
    </row>
    <row r="1223" spans="1:4" x14ac:dyDescent="0.55000000000000004">
      <c r="A1223" t="s">
        <v>764</v>
      </c>
      <c r="B1223" t="str">
        <f>VLOOKUP(B1221,Tabelle3!$A$2:$E$33,5,FALSE)</f>
        <v/>
      </c>
      <c r="C1223" t="s">
        <v>762</v>
      </c>
      <c r="D1223" t="str">
        <f t="shared" si="979"/>
        <v xml:space="preserve">    "nextInstruction":  "",</v>
      </c>
    </row>
    <row r="1224" spans="1:4" x14ac:dyDescent="0.55000000000000004">
      <c r="A1224" t="s">
        <v>765</v>
      </c>
      <c r="B1224" t="str">
        <f>VLOOKUP(B1221,Tabelle3!$A$2:$E$33,4,FALSE)</f>
        <v>""</v>
      </c>
      <c r="D1224" t="str">
        <f t="shared" ref="D1224:D1287" si="990">IF(ISNUMBER(B1224),(A1224&amp;B1224),"")</f>
        <v/>
      </c>
    </row>
    <row r="1225" spans="1:4" x14ac:dyDescent="0.55000000000000004">
      <c r="A1225" t="s">
        <v>6</v>
      </c>
      <c r="D1225" t="str">
        <f t="shared" ref="D1225:D1288" si="991">A1225</f>
        <v xml:space="preserve">  },</v>
      </c>
    </row>
    <row r="1226" spans="1:4" x14ac:dyDescent="0.55000000000000004">
      <c r="A1226" t="s">
        <v>208</v>
      </c>
      <c r="D1226" t="str">
        <f t="shared" si="991"/>
        <v xml:space="preserve">  "16-42": {</v>
      </c>
    </row>
    <row r="1227" spans="1:4" x14ac:dyDescent="0.55000000000000004">
      <c r="A1227" t="s">
        <v>15</v>
      </c>
      <c r="B1227">
        <f t="shared" ref="B1227" si="992">_xlfn.NUMBERVALUE(RIGHT(A1227,2))</f>
        <v>57</v>
      </c>
      <c r="D1227" t="str">
        <f t="shared" ref="D1227:D1290" si="993">A1227&amp;","</f>
        <v xml:space="preserve">    "resultPage": 57,</v>
      </c>
    </row>
    <row r="1228" spans="1:4" x14ac:dyDescent="0.55000000000000004">
      <c r="A1228" t="s">
        <v>763</v>
      </c>
      <c r="B1228" t="str">
        <f>VLOOKUP(B1227,Tabelle3!$A$2:$E$33,3,FALSE)</f>
        <v>Extended Range Blocking</v>
      </c>
      <c r="C1228" t="s">
        <v>762</v>
      </c>
      <c r="D1228" t="str">
        <f t="shared" ref="D1228" si="994">_xlfn.CONCAT(A1228:C1228)</f>
        <v xml:space="preserve">    "message":  "Extended Range Blocking",</v>
      </c>
    </row>
    <row r="1229" spans="1:4" x14ac:dyDescent="0.55000000000000004">
      <c r="A1229" t="s">
        <v>764</v>
      </c>
      <c r="B1229" t="str">
        <f>VLOOKUP(B1227,Tabelle3!$A$2:$E$33,5,FALSE)</f>
        <v>Only Extended Range</v>
      </c>
      <c r="C1229" t="s">
        <v>762</v>
      </c>
      <c r="D1229" t="str">
        <f t="shared" si="979"/>
        <v xml:space="preserve">    "nextInstruction":  "Only Extended Range",</v>
      </c>
    </row>
    <row r="1230" spans="1:4" x14ac:dyDescent="0.55000000000000004">
      <c r="A1230" t="s">
        <v>765</v>
      </c>
      <c r="B1230" t="str">
        <f>VLOOKUP(B1227,Tabelle3!$A$2:$E$33,4,FALSE)</f>
        <v>""</v>
      </c>
      <c r="D1230" t="str">
        <f t="shared" ref="D1230:D1293" si="995">IF(ISNUMBER(B1230),(A1230&amp;B1230),"")</f>
        <v/>
      </c>
    </row>
    <row r="1231" spans="1:4" x14ac:dyDescent="0.55000000000000004">
      <c r="A1231" t="s">
        <v>6</v>
      </c>
      <c r="D1231" t="str">
        <f t="shared" ref="D1231:D1294" si="996">A1231</f>
        <v xml:space="preserve">  },</v>
      </c>
    </row>
    <row r="1232" spans="1:4" x14ac:dyDescent="0.55000000000000004">
      <c r="A1232" t="s">
        <v>209</v>
      </c>
      <c r="D1232" t="str">
        <f t="shared" si="996"/>
        <v xml:space="preserve">  "16-44": {</v>
      </c>
    </row>
    <row r="1233" spans="1:4" x14ac:dyDescent="0.55000000000000004">
      <c r="A1233" t="s">
        <v>15</v>
      </c>
      <c r="B1233">
        <f t="shared" ref="B1233" si="997">_xlfn.NUMBERVALUE(RIGHT(A1233,2))</f>
        <v>57</v>
      </c>
      <c r="D1233" t="str">
        <f t="shared" ref="D1233:D1296" si="998">A1233&amp;","</f>
        <v xml:space="preserve">    "resultPage": 57,</v>
      </c>
    </row>
    <row r="1234" spans="1:4" x14ac:dyDescent="0.55000000000000004">
      <c r="A1234" t="s">
        <v>763</v>
      </c>
      <c r="B1234" t="str">
        <f>VLOOKUP(B1233,Tabelle3!$A$2:$E$33,3,FALSE)</f>
        <v>Extended Range Blocking</v>
      </c>
      <c r="C1234" t="s">
        <v>762</v>
      </c>
      <c r="D1234" t="str">
        <f t="shared" ref="D1234" si="999">_xlfn.CONCAT(A1234:C1234)</f>
        <v xml:space="preserve">    "message":  "Extended Range Blocking",</v>
      </c>
    </row>
    <row r="1235" spans="1:4" x14ac:dyDescent="0.55000000000000004">
      <c r="A1235" t="s">
        <v>764</v>
      </c>
      <c r="B1235" t="str">
        <f>VLOOKUP(B1233,Tabelle3!$A$2:$E$33,5,FALSE)</f>
        <v>Only Extended Range</v>
      </c>
      <c r="C1235" t="s">
        <v>762</v>
      </c>
      <c r="D1235" t="str">
        <f t="shared" si="979"/>
        <v xml:space="preserve">    "nextInstruction":  "Only Extended Range",</v>
      </c>
    </row>
    <row r="1236" spans="1:4" x14ac:dyDescent="0.55000000000000004">
      <c r="A1236" t="s">
        <v>765</v>
      </c>
      <c r="B1236" t="str">
        <f>VLOOKUP(B1233,Tabelle3!$A$2:$E$33,4,FALSE)</f>
        <v>""</v>
      </c>
      <c r="D1236" t="str">
        <f t="shared" ref="D1236:D1299" si="1000">IF(ISNUMBER(B1236),(A1236&amp;B1236),"")</f>
        <v/>
      </c>
    </row>
    <row r="1237" spans="1:4" x14ac:dyDescent="0.55000000000000004">
      <c r="A1237" t="s">
        <v>6</v>
      </c>
      <c r="D1237" t="str">
        <f t="shared" ref="D1237:D1300" si="1001">A1237</f>
        <v xml:space="preserve">  },</v>
      </c>
    </row>
    <row r="1238" spans="1:4" x14ac:dyDescent="0.55000000000000004">
      <c r="A1238" t="s">
        <v>210</v>
      </c>
      <c r="D1238" t="str">
        <f t="shared" si="1001"/>
        <v xml:space="preserve">  "16-46": {</v>
      </c>
    </row>
    <row r="1239" spans="1:4" x14ac:dyDescent="0.55000000000000004">
      <c r="A1239" t="s">
        <v>199</v>
      </c>
      <c r="B1239">
        <f t="shared" ref="B1239" si="1002">_xlfn.NUMBERVALUE(RIGHT(A1239,2))</f>
        <v>1</v>
      </c>
      <c r="D1239" t="str">
        <f t="shared" ref="D1239:D1302" si="1003">A1239&amp;","</f>
        <v xml:space="preserve">    "resultPage": 1,</v>
      </c>
    </row>
    <row r="1240" spans="1:4" x14ac:dyDescent="0.55000000000000004">
      <c r="A1240" t="s">
        <v>763</v>
      </c>
      <c r="B1240" t="str">
        <f>VLOOKUP(B1239,Tabelle3!$A$2:$E$33,3,FALSE)</f>
        <v>Jumping Away</v>
      </c>
      <c r="C1240" t="s">
        <v>762</v>
      </c>
      <c r="D1240" t="str">
        <f t="shared" ref="D1240" si="1004">_xlfn.CONCAT(A1240:C1240)</f>
        <v xml:space="preserve">    "message":  "Jumping Away",</v>
      </c>
    </row>
    <row r="1241" spans="1:4" x14ac:dyDescent="0.55000000000000004">
      <c r="A1241" t="s">
        <v>764</v>
      </c>
      <c r="B1241" t="str">
        <f>VLOOKUP(B1239,Tabelle3!$A$2:$E$33,5,FALSE)</f>
        <v>Add + 2 to your Score</v>
      </c>
      <c r="C1241" t="s">
        <v>762</v>
      </c>
      <c r="D1241" t="str">
        <f t="shared" si="979"/>
        <v xml:space="preserve">    "nextInstruction":  "Add + 2 to your Score",</v>
      </c>
    </row>
    <row r="1242" spans="1:4" x14ac:dyDescent="0.55000000000000004">
      <c r="A1242" t="s">
        <v>765</v>
      </c>
      <c r="B1242" t="str">
        <f>VLOOKUP(B1239,Tabelle3!$A$2:$E$33,4,FALSE)</f>
        <v>""</v>
      </c>
      <c r="D1242" t="str">
        <f t="shared" ref="D1242:D1305" si="1005">IF(ISNUMBER(B1242),(A1242&amp;B1242),"")</f>
        <v/>
      </c>
    </row>
    <row r="1243" spans="1:4" x14ac:dyDescent="0.55000000000000004">
      <c r="A1243" t="s">
        <v>6</v>
      </c>
      <c r="D1243" t="str">
        <f t="shared" ref="D1243:D1306" si="1006">A1243</f>
        <v xml:space="preserve">  },</v>
      </c>
    </row>
    <row r="1244" spans="1:4" x14ac:dyDescent="0.55000000000000004">
      <c r="A1244" t="s">
        <v>211</v>
      </c>
      <c r="D1244" t="str">
        <f t="shared" si="1006"/>
        <v xml:space="preserve">  "16-48": {</v>
      </c>
    </row>
    <row r="1245" spans="1:4" x14ac:dyDescent="0.55000000000000004">
      <c r="A1245" t="s">
        <v>15</v>
      </c>
      <c r="B1245">
        <f t="shared" ref="B1245" si="1007">_xlfn.NUMBERVALUE(RIGHT(A1245,2))</f>
        <v>57</v>
      </c>
      <c r="D1245" t="str">
        <f t="shared" ref="D1245:D1308" si="1008">A1245&amp;","</f>
        <v xml:space="preserve">    "resultPage": 57,</v>
      </c>
    </row>
    <row r="1246" spans="1:4" x14ac:dyDescent="0.55000000000000004">
      <c r="A1246" t="s">
        <v>763</v>
      </c>
      <c r="B1246" t="str">
        <f>VLOOKUP(B1245,Tabelle3!$A$2:$E$33,3,FALSE)</f>
        <v>Extended Range Blocking</v>
      </c>
      <c r="C1246" t="s">
        <v>762</v>
      </c>
      <c r="D1246" t="str">
        <f t="shared" ref="D1246" si="1009">_xlfn.CONCAT(A1246:C1246)</f>
        <v xml:space="preserve">    "message":  "Extended Range Blocking",</v>
      </c>
    </row>
    <row r="1247" spans="1:4" x14ac:dyDescent="0.55000000000000004">
      <c r="A1247" t="s">
        <v>764</v>
      </c>
      <c r="B1247" t="str">
        <f>VLOOKUP(B1245,Tabelle3!$A$2:$E$33,5,FALSE)</f>
        <v>Only Extended Range</v>
      </c>
      <c r="C1247" t="s">
        <v>762</v>
      </c>
      <c r="D1247" t="str">
        <f t="shared" si="979"/>
        <v xml:space="preserve">    "nextInstruction":  "Only Extended Range",</v>
      </c>
    </row>
    <row r="1248" spans="1:4" x14ac:dyDescent="0.55000000000000004">
      <c r="A1248" t="s">
        <v>765</v>
      </c>
      <c r="B1248" t="str">
        <f>VLOOKUP(B1245,Tabelle3!$A$2:$E$33,4,FALSE)</f>
        <v>""</v>
      </c>
      <c r="D1248" t="str">
        <f t="shared" ref="D1248:D1311" si="1010">IF(ISNUMBER(B1248),(A1248&amp;B1248),"")</f>
        <v/>
      </c>
    </row>
    <row r="1249" spans="1:4" x14ac:dyDescent="0.55000000000000004">
      <c r="A1249" t="s">
        <v>6</v>
      </c>
      <c r="D1249" t="str">
        <f t="shared" ref="D1249:D1312" si="1011">A1249</f>
        <v xml:space="preserve">  },</v>
      </c>
    </row>
    <row r="1250" spans="1:4" x14ac:dyDescent="0.55000000000000004">
      <c r="A1250" t="s">
        <v>212</v>
      </c>
      <c r="D1250" t="str">
        <f t="shared" si="1011"/>
        <v xml:space="preserve">  "18-4": {</v>
      </c>
    </row>
    <row r="1251" spans="1:4" x14ac:dyDescent="0.55000000000000004">
      <c r="A1251" t="s">
        <v>213</v>
      </c>
      <c r="B1251">
        <f t="shared" ref="B1251" si="1012">_xlfn.NUMBERVALUE(RIGHT(A1251,2))</f>
        <v>37</v>
      </c>
      <c r="D1251" t="str">
        <f t="shared" ref="D1251:D1314" si="1013">A1251&amp;","</f>
        <v xml:space="preserve">    "resultPage": 37,</v>
      </c>
    </row>
    <row r="1252" spans="1:4" x14ac:dyDescent="0.55000000000000004">
      <c r="A1252" t="s">
        <v>763</v>
      </c>
      <c r="B1252" t="str">
        <f>VLOOKUP(B1251,Tabelle3!$A$2:$E$33,3,FALSE)</f>
        <v>Jumping Up</v>
      </c>
      <c r="C1252" t="s">
        <v>762</v>
      </c>
      <c r="D1252" t="str">
        <f t="shared" ref="D1252" si="1014">_xlfn.CONCAT(A1252:C1252)</f>
        <v xml:space="preserve">    "message":  "Jumping Up",</v>
      </c>
    </row>
    <row r="1253" spans="1:4" x14ac:dyDescent="0.55000000000000004">
      <c r="A1253" t="s">
        <v>764</v>
      </c>
      <c r="B1253" t="str">
        <f>VLOOKUP(B1251,Tabelle3!$A$2:$E$33,5,FALSE)</f>
        <v>No Blue Add + 2 to any Orange</v>
      </c>
      <c r="C1253" t="s">
        <v>762</v>
      </c>
      <c r="D1253" t="str">
        <f t="shared" si="979"/>
        <v xml:space="preserve">    "nextInstruction":  "No Blue Add + 2 to any Orange",</v>
      </c>
    </row>
    <row r="1254" spans="1:4" x14ac:dyDescent="0.55000000000000004">
      <c r="A1254" t="s">
        <v>765</v>
      </c>
      <c r="B1254" t="str">
        <f>VLOOKUP(B1251,Tabelle3!$A$2:$E$33,4,FALSE)</f>
        <v>""</v>
      </c>
      <c r="D1254" t="str">
        <f t="shared" ref="D1254:D1317" si="1015">IF(ISNUMBER(B1254),(A1254&amp;B1254),"")</f>
        <v/>
      </c>
    </row>
    <row r="1255" spans="1:4" x14ac:dyDescent="0.55000000000000004">
      <c r="A1255" t="s">
        <v>6</v>
      </c>
      <c r="D1255" t="str">
        <f t="shared" ref="D1255:D1318" si="1016">A1255</f>
        <v xml:space="preserve">  },</v>
      </c>
    </row>
    <row r="1256" spans="1:4" x14ac:dyDescent="0.55000000000000004">
      <c r="A1256" t="s">
        <v>214</v>
      </c>
      <c r="D1256" t="str">
        <f t="shared" si="1016"/>
        <v xml:space="preserve">  "18-6": {</v>
      </c>
    </row>
    <row r="1257" spans="1:4" x14ac:dyDescent="0.55000000000000004">
      <c r="A1257" t="s">
        <v>213</v>
      </c>
      <c r="B1257">
        <f t="shared" ref="B1257" si="1017">_xlfn.NUMBERVALUE(RIGHT(A1257,2))</f>
        <v>37</v>
      </c>
      <c r="D1257" t="str">
        <f t="shared" ref="D1257:D1320" si="1018">A1257&amp;","</f>
        <v xml:space="preserve">    "resultPage": 37,</v>
      </c>
    </row>
    <row r="1258" spans="1:4" x14ac:dyDescent="0.55000000000000004">
      <c r="A1258" t="s">
        <v>763</v>
      </c>
      <c r="B1258" t="str">
        <f>VLOOKUP(B1257,Tabelle3!$A$2:$E$33,3,FALSE)</f>
        <v>Jumping Up</v>
      </c>
      <c r="C1258" t="s">
        <v>762</v>
      </c>
      <c r="D1258" t="str">
        <f t="shared" ref="D1258" si="1019">_xlfn.CONCAT(A1258:C1258)</f>
        <v xml:space="preserve">    "message":  "Jumping Up",</v>
      </c>
    </row>
    <row r="1259" spans="1:4" x14ac:dyDescent="0.55000000000000004">
      <c r="A1259" t="s">
        <v>764</v>
      </c>
      <c r="B1259" t="str">
        <f>VLOOKUP(B1257,Tabelle3!$A$2:$E$33,5,FALSE)</f>
        <v>No Blue Add + 2 to any Orange</v>
      </c>
      <c r="C1259" t="s">
        <v>762</v>
      </c>
      <c r="D1259" t="str">
        <f t="shared" si="979"/>
        <v xml:space="preserve">    "nextInstruction":  "No Blue Add + 2 to any Orange",</v>
      </c>
    </row>
    <row r="1260" spans="1:4" x14ac:dyDescent="0.55000000000000004">
      <c r="A1260" t="s">
        <v>765</v>
      </c>
      <c r="B1260" t="str">
        <f>VLOOKUP(B1257,Tabelle3!$A$2:$E$33,4,FALSE)</f>
        <v>""</v>
      </c>
      <c r="D1260" t="str">
        <f t="shared" ref="D1260:D1323" si="1020">IF(ISNUMBER(B1260),(A1260&amp;B1260),"")</f>
        <v/>
      </c>
    </row>
    <row r="1261" spans="1:4" x14ac:dyDescent="0.55000000000000004">
      <c r="A1261" t="s">
        <v>6</v>
      </c>
      <c r="D1261" t="str">
        <f t="shared" ref="D1261:D1324" si="1021">A1261</f>
        <v xml:space="preserve">  },</v>
      </c>
    </row>
    <row r="1262" spans="1:4" x14ac:dyDescent="0.55000000000000004">
      <c r="A1262" t="s">
        <v>215</v>
      </c>
      <c r="D1262" t="str">
        <f t="shared" si="1021"/>
        <v xml:space="preserve">  "18-8": {</v>
      </c>
    </row>
    <row r="1263" spans="1:4" x14ac:dyDescent="0.55000000000000004">
      <c r="A1263" t="s">
        <v>213</v>
      </c>
      <c r="B1263">
        <f t="shared" ref="B1263" si="1022">_xlfn.NUMBERVALUE(RIGHT(A1263,2))</f>
        <v>37</v>
      </c>
      <c r="D1263" t="str">
        <f t="shared" ref="D1263:D1326" si="1023">A1263&amp;","</f>
        <v xml:space="preserve">    "resultPage": 37,</v>
      </c>
    </row>
    <row r="1264" spans="1:4" x14ac:dyDescent="0.55000000000000004">
      <c r="A1264" t="s">
        <v>763</v>
      </c>
      <c r="B1264" t="str">
        <f>VLOOKUP(B1263,Tabelle3!$A$2:$E$33,3,FALSE)</f>
        <v>Jumping Up</v>
      </c>
      <c r="C1264" t="s">
        <v>762</v>
      </c>
      <c r="D1264" t="str">
        <f t="shared" ref="D1264" si="1024">_xlfn.CONCAT(A1264:C1264)</f>
        <v xml:space="preserve">    "message":  "Jumping Up",</v>
      </c>
    </row>
    <row r="1265" spans="1:4" x14ac:dyDescent="0.55000000000000004">
      <c r="A1265" t="s">
        <v>764</v>
      </c>
      <c r="B1265" t="str">
        <f>VLOOKUP(B1263,Tabelle3!$A$2:$E$33,5,FALSE)</f>
        <v>No Blue Add + 2 to any Orange</v>
      </c>
      <c r="C1265" t="s">
        <v>762</v>
      </c>
      <c r="D1265" t="str">
        <f t="shared" si="979"/>
        <v xml:space="preserve">    "nextInstruction":  "No Blue Add + 2 to any Orange",</v>
      </c>
    </row>
    <row r="1266" spans="1:4" x14ac:dyDescent="0.55000000000000004">
      <c r="A1266" t="s">
        <v>765</v>
      </c>
      <c r="B1266" t="str">
        <f>VLOOKUP(B1263,Tabelle3!$A$2:$E$33,4,FALSE)</f>
        <v>""</v>
      </c>
      <c r="D1266" t="str">
        <f t="shared" ref="D1266:D1329" si="1025">IF(ISNUMBER(B1266),(A1266&amp;B1266),"")</f>
        <v/>
      </c>
    </row>
    <row r="1267" spans="1:4" x14ac:dyDescent="0.55000000000000004">
      <c r="A1267" t="s">
        <v>6</v>
      </c>
      <c r="D1267" t="str">
        <f t="shared" ref="D1267:D1330" si="1026">A1267</f>
        <v xml:space="preserve">  },</v>
      </c>
    </row>
    <row r="1268" spans="1:4" x14ac:dyDescent="0.55000000000000004">
      <c r="A1268" t="s">
        <v>216</v>
      </c>
      <c r="D1268" t="str">
        <f t="shared" si="1026"/>
        <v xml:space="preserve">  "18-10": {</v>
      </c>
    </row>
    <row r="1269" spans="1:4" x14ac:dyDescent="0.55000000000000004">
      <c r="A1269" t="s">
        <v>138</v>
      </c>
      <c r="B1269">
        <f t="shared" ref="B1269" si="1027">_xlfn.NUMBERVALUE(RIGHT(A1269,2))</f>
        <v>13</v>
      </c>
      <c r="D1269" t="str">
        <f t="shared" ref="D1269:D1332" si="1028">A1269&amp;","</f>
        <v xml:space="preserve">    "resultPage": 13,</v>
      </c>
    </row>
    <row r="1270" spans="1:4" x14ac:dyDescent="0.55000000000000004">
      <c r="A1270" t="s">
        <v>763</v>
      </c>
      <c r="B1270" t="str">
        <f>VLOOKUP(B1269,Tabelle3!$A$2:$E$33,3,FALSE)</f>
        <v>Leg Wound</v>
      </c>
      <c r="C1270" t="s">
        <v>762</v>
      </c>
      <c r="D1270" t="str">
        <f t="shared" ref="D1270" si="1029">_xlfn.CONCAT(A1270:C1270)</f>
        <v xml:space="preserve">    "message":  "Leg Wound",</v>
      </c>
    </row>
    <row r="1271" spans="1:4" x14ac:dyDescent="0.55000000000000004">
      <c r="A1271" t="s">
        <v>764</v>
      </c>
      <c r="B1271" t="str">
        <f>VLOOKUP(B1269,Tabelle3!$A$2:$E$33,5,FALSE)</f>
        <v>No Orange</v>
      </c>
      <c r="C1271" t="s">
        <v>762</v>
      </c>
      <c r="D1271" t="str">
        <f t="shared" si="979"/>
        <v xml:space="preserve">    "nextInstruction":  "No Orange",</v>
      </c>
    </row>
    <row r="1272" spans="1:4" x14ac:dyDescent="0.55000000000000004">
      <c r="A1272" t="s">
        <v>765</v>
      </c>
      <c r="B1272">
        <f>VLOOKUP(B1269,Tabelle3!$A$2:$E$33,4,FALSE)</f>
        <v>4</v>
      </c>
      <c r="D1272" t="str">
        <f t="shared" ref="D1272:D1335" si="1030">IF(ISNUMBER(B1272),(A1272&amp;B1272),"")</f>
        <v xml:space="preserve">    "damageModifier": 4</v>
      </c>
    </row>
    <row r="1273" spans="1:4" x14ac:dyDescent="0.55000000000000004">
      <c r="A1273" t="s">
        <v>6</v>
      </c>
      <c r="D1273" t="str">
        <f t="shared" ref="D1273:D1336" si="1031">A1273</f>
        <v xml:space="preserve">  },</v>
      </c>
    </row>
    <row r="1274" spans="1:4" x14ac:dyDescent="0.55000000000000004">
      <c r="A1274" t="s">
        <v>217</v>
      </c>
      <c r="D1274" t="str">
        <f t="shared" si="1031"/>
        <v xml:space="preserve">  "18-12": {</v>
      </c>
    </row>
    <row r="1275" spans="1:4" x14ac:dyDescent="0.55000000000000004">
      <c r="A1275" t="s">
        <v>138</v>
      </c>
      <c r="B1275">
        <f t="shared" ref="B1275" si="1032">_xlfn.NUMBERVALUE(RIGHT(A1275,2))</f>
        <v>13</v>
      </c>
      <c r="D1275" t="str">
        <f t="shared" ref="D1275:D1338" si="1033">A1275&amp;","</f>
        <v xml:space="preserve">    "resultPage": 13,</v>
      </c>
    </row>
    <row r="1276" spans="1:4" x14ac:dyDescent="0.55000000000000004">
      <c r="A1276" t="s">
        <v>763</v>
      </c>
      <c r="B1276" t="str">
        <f>VLOOKUP(B1275,Tabelle3!$A$2:$E$33,3,FALSE)</f>
        <v>Leg Wound</v>
      </c>
      <c r="C1276" t="s">
        <v>762</v>
      </c>
      <c r="D1276" t="str">
        <f t="shared" ref="D1276:D1337" si="1034">_xlfn.CONCAT(A1276:C1276)</f>
        <v xml:space="preserve">    "message":  "Leg Wound",</v>
      </c>
    </row>
    <row r="1277" spans="1:4" x14ac:dyDescent="0.55000000000000004">
      <c r="A1277" t="s">
        <v>764</v>
      </c>
      <c r="B1277" t="str">
        <f>VLOOKUP(B1275,Tabelle3!$A$2:$E$33,5,FALSE)</f>
        <v>No Orange</v>
      </c>
      <c r="C1277" t="s">
        <v>762</v>
      </c>
      <c r="D1277" t="str">
        <f t="shared" si="1034"/>
        <v xml:space="preserve">    "nextInstruction":  "No Orange",</v>
      </c>
    </row>
    <row r="1278" spans="1:4" x14ac:dyDescent="0.55000000000000004">
      <c r="A1278" t="s">
        <v>765</v>
      </c>
      <c r="B1278">
        <f>VLOOKUP(B1275,Tabelle3!$A$2:$E$33,4,FALSE)</f>
        <v>4</v>
      </c>
      <c r="D1278" t="str">
        <f t="shared" ref="D1278:D1341" si="1035">IF(ISNUMBER(B1278),(A1278&amp;B1278),"")</f>
        <v xml:space="preserve">    "damageModifier": 4</v>
      </c>
    </row>
    <row r="1279" spans="1:4" x14ac:dyDescent="0.55000000000000004">
      <c r="A1279" t="s">
        <v>6</v>
      </c>
      <c r="D1279" t="str">
        <f t="shared" ref="D1279:D1342" si="1036">A1279</f>
        <v xml:space="preserve">  },</v>
      </c>
    </row>
    <row r="1280" spans="1:4" x14ac:dyDescent="0.55000000000000004">
      <c r="A1280" t="s">
        <v>218</v>
      </c>
      <c r="D1280" t="str">
        <f t="shared" si="1036"/>
        <v xml:space="preserve">  "18-14": {</v>
      </c>
    </row>
    <row r="1281" spans="1:4" x14ac:dyDescent="0.55000000000000004">
      <c r="A1281" t="s">
        <v>213</v>
      </c>
      <c r="B1281">
        <f t="shared" ref="B1281" si="1037">_xlfn.NUMBERVALUE(RIGHT(A1281,2))</f>
        <v>37</v>
      </c>
      <c r="D1281" t="str">
        <f t="shared" ref="D1281:D1344" si="1038">A1281&amp;","</f>
        <v xml:space="preserve">    "resultPage": 37,</v>
      </c>
    </row>
    <row r="1282" spans="1:4" x14ac:dyDescent="0.55000000000000004">
      <c r="A1282" t="s">
        <v>763</v>
      </c>
      <c r="B1282" t="str">
        <f>VLOOKUP(B1281,Tabelle3!$A$2:$E$33,3,FALSE)</f>
        <v>Jumping Up</v>
      </c>
      <c r="C1282" t="s">
        <v>762</v>
      </c>
      <c r="D1282" t="str">
        <f t="shared" ref="D1282" si="1039">_xlfn.CONCAT(A1282:C1282)</f>
        <v xml:space="preserve">    "message":  "Jumping Up",</v>
      </c>
    </row>
    <row r="1283" spans="1:4" x14ac:dyDescent="0.55000000000000004">
      <c r="A1283" t="s">
        <v>764</v>
      </c>
      <c r="B1283" t="str">
        <f>VLOOKUP(B1281,Tabelle3!$A$2:$E$33,5,FALSE)</f>
        <v>No Blue Add + 2 to any Orange</v>
      </c>
      <c r="C1283" t="s">
        <v>762</v>
      </c>
      <c r="D1283" t="str">
        <f t="shared" si="1034"/>
        <v xml:space="preserve">    "nextInstruction":  "No Blue Add + 2 to any Orange",</v>
      </c>
    </row>
    <row r="1284" spans="1:4" x14ac:dyDescent="0.55000000000000004">
      <c r="A1284" t="s">
        <v>765</v>
      </c>
      <c r="B1284" t="str">
        <f>VLOOKUP(B1281,Tabelle3!$A$2:$E$33,4,FALSE)</f>
        <v>""</v>
      </c>
      <c r="D1284" t="str">
        <f t="shared" ref="D1284:D1347" si="1040">IF(ISNUMBER(B1284),(A1284&amp;B1284),"")</f>
        <v/>
      </c>
    </row>
    <row r="1285" spans="1:4" x14ac:dyDescent="0.55000000000000004">
      <c r="A1285" t="s">
        <v>6</v>
      </c>
      <c r="D1285" t="str">
        <f t="shared" ref="D1285:D1348" si="1041">A1285</f>
        <v xml:space="preserve">  },</v>
      </c>
    </row>
    <row r="1286" spans="1:4" x14ac:dyDescent="0.55000000000000004">
      <c r="A1286" t="s">
        <v>219</v>
      </c>
      <c r="D1286" t="str">
        <f t="shared" si="1041"/>
        <v xml:space="preserve">  "18-16": {</v>
      </c>
    </row>
    <row r="1287" spans="1:4" x14ac:dyDescent="0.55000000000000004">
      <c r="A1287" t="s">
        <v>98</v>
      </c>
      <c r="B1287">
        <f t="shared" ref="B1287" si="1042">_xlfn.NUMBERVALUE(RIGHT(A1287,2))</f>
        <v>61</v>
      </c>
      <c r="D1287" t="str">
        <f t="shared" ref="D1287:D1350" si="1043">A1287&amp;","</f>
        <v xml:space="preserve">    "resultPage": 61,</v>
      </c>
    </row>
    <row r="1288" spans="1:4" x14ac:dyDescent="0.55000000000000004">
      <c r="A1288" t="s">
        <v>763</v>
      </c>
      <c r="B1288" t="str">
        <f>VLOOKUP(B1287,Tabelle3!$A$2:$E$33,3,FALSE)</f>
        <v>Extended Range Dodging</v>
      </c>
      <c r="C1288" t="s">
        <v>762</v>
      </c>
      <c r="D1288" t="str">
        <f t="shared" ref="D1288" si="1044">_xlfn.CONCAT(A1288:C1288)</f>
        <v xml:space="preserve">    "message":  "Extended Range Dodging",</v>
      </c>
    </row>
    <row r="1289" spans="1:4" x14ac:dyDescent="0.55000000000000004">
      <c r="A1289" t="s">
        <v>764</v>
      </c>
      <c r="B1289" t="str">
        <f>VLOOKUP(B1287,Tabelle3!$A$2:$E$33,5,FALSE)</f>
        <v>Only Extended Range</v>
      </c>
      <c r="C1289" t="s">
        <v>762</v>
      </c>
      <c r="D1289" t="str">
        <f t="shared" si="1034"/>
        <v xml:space="preserve">    "nextInstruction":  "Only Extended Range",</v>
      </c>
    </row>
    <row r="1290" spans="1:4" x14ac:dyDescent="0.55000000000000004">
      <c r="A1290" t="s">
        <v>765</v>
      </c>
      <c r="B1290" t="str">
        <f>VLOOKUP(B1287,Tabelle3!$A$2:$E$33,4,FALSE)</f>
        <v>""</v>
      </c>
      <c r="D1290" t="str">
        <f t="shared" ref="D1290:D1353" si="1045">IF(ISNUMBER(B1290),(A1290&amp;B1290),"")</f>
        <v/>
      </c>
    </row>
    <row r="1291" spans="1:4" x14ac:dyDescent="0.55000000000000004">
      <c r="A1291" t="s">
        <v>6</v>
      </c>
      <c r="D1291" t="str">
        <f t="shared" ref="D1291:D1354" si="1046">A1291</f>
        <v xml:space="preserve">  },</v>
      </c>
    </row>
    <row r="1292" spans="1:4" x14ac:dyDescent="0.55000000000000004">
      <c r="A1292" t="s">
        <v>220</v>
      </c>
      <c r="D1292" t="str">
        <f t="shared" si="1046"/>
        <v xml:space="preserve">  "18-18": {</v>
      </c>
    </row>
    <row r="1293" spans="1:4" x14ac:dyDescent="0.55000000000000004">
      <c r="A1293" t="s">
        <v>213</v>
      </c>
      <c r="B1293">
        <f t="shared" ref="B1293" si="1047">_xlfn.NUMBERVALUE(RIGHT(A1293,2))</f>
        <v>37</v>
      </c>
      <c r="D1293" t="str">
        <f t="shared" ref="D1293:D1356" si="1048">A1293&amp;","</f>
        <v xml:space="preserve">    "resultPage": 37,</v>
      </c>
    </row>
    <row r="1294" spans="1:4" x14ac:dyDescent="0.55000000000000004">
      <c r="A1294" t="s">
        <v>763</v>
      </c>
      <c r="B1294" t="str">
        <f>VLOOKUP(B1293,Tabelle3!$A$2:$E$33,3,FALSE)</f>
        <v>Jumping Up</v>
      </c>
      <c r="C1294" t="s">
        <v>762</v>
      </c>
      <c r="D1294" t="str">
        <f t="shared" ref="D1294" si="1049">_xlfn.CONCAT(A1294:C1294)</f>
        <v xml:space="preserve">    "message":  "Jumping Up",</v>
      </c>
    </row>
    <row r="1295" spans="1:4" x14ac:dyDescent="0.55000000000000004">
      <c r="A1295" t="s">
        <v>764</v>
      </c>
      <c r="B1295" t="str">
        <f>VLOOKUP(B1293,Tabelle3!$A$2:$E$33,5,FALSE)</f>
        <v>No Blue Add + 2 to any Orange</v>
      </c>
      <c r="C1295" t="s">
        <v>762</v>
      </c>
      <c r="D1295" t="str">
        <f t="shared" si="1034"/>
        <v xml:space="preserve">    "nextInstruction":  "No Blue Add + 2 to any Orange",</v>
      </c>
    </row>
    <row r="1296" spans="1:4" x14ac:dyDescent="0.55000000000000004">
      <c r="A1296" t="s">
        <v>765</v>
      </c>
      <c r="B1296" t="str">
        <f>VLOOKUP(B1293,Tabelle3!$A$2:$E$33,4,FALSE)</f>
        <v>""</v>
      </c>
      <c r="D1296" t="str">
        <f t="shared" ref="D1296:D1359" si="1050">IF(ISNUMBER(B1296),(A1296&amp;B1296),"")</f>
        <v/>
      </c>
    </row>
    <row r="1297" spans="1:4" x14ac:dyDescent="0.55000000000000004">
      <c r="A1297" t="s">
        <v>6</v>
      </c>
      <c r="D1297" t="str">
        <f t="shared" ref="D1297:D1360" si="1051">A1297</f>
        <v xml:space="preserve">  },</v>
      </c>
    </row>
    <row r="1298" spans="1:4" x14ac:dyDescent="0.55000000000000004">
      <c r="A1298" t="s">
        <v>221</v>
      </c>
      <c r="D1298" t="str">
        <f t="shared" si="1051"/>
        <v xml:space="preserve">  "18-20": {</v>
      </c>
    </row>
    <row r="1299" spans="1:4" x14ac:dyDescent="0.55000000000000004">
      <c r="A1299" t="s">
        <v>213</v>
      </c>
      <c r="B1299">
        <f t="shared" ref="B1299" si="1052">_xlfn.NUMBERVALUE(RIGHT(A1299,2))</f>
        <v>37</v>
      </c>
      <c r="D1299" t="str">
        <f t="shared" ref="D1299:D1362" si="1053">A1299&amp;","</f>
        <v xml:space="preserve">    "resultPage": 37,</v>
      </c>
    </row>
    <row r="1300" spans="1:4" x14ac:dyDescent="0.55000000000000004">
      <c r="A1300" t="s">
        <v>763</v>
      </c>
      <c r="B1300" t="str">
        <f>VLOOKUP(B1299,Tabelle3!$A$2:$E$33,3,FALSE)</f>
        <v>Jumping Up</v>
      </c>
      <c r="C1300" t="s">
        <v>762</v>
      </c>
      <c r="D1300" t="str">
        <f t="shared" ref="D1300" si="1054">_xlfn.CONCAT(A1300:C1300)</f>
        <v xml:space="preserve">    "message":  "Jumping Up",</v>
      </c>
    </row>
    <row r="1301" spans="1:4" x14ac:dyDescent="0.55000000000000004">
      <c r="A1301" t="s">
        <v>764</v>
      </c>
      <c r="B1301" t="str">
        <f>VLOOKUP(B1299,Tabelle3!$A$2:$E$33,5,FALSE)</f>
        <v>No Blue Add + 2 to any Orange</v>
      </c>
      <c r="C1301" t="s">
        <v>762</v>
      </c>
      <c r="D1301" t="str">
        <f t="shared" si="1034"/>
        <v xml:space="preserve">    "nextInstruction":  "No Blue Add + 2 to any Orange",</v>
      </c>
    </row>
    <row r="1302" spans="1:4" x14ac:dyDescent="0.55000000000000004">
      <c r="A1302" t="s">
        <v>765</v>
      </c>
      <c r="B1302" t="str">
        <f>VLOOKUP(B1299,Tabelle3!$A$2:$E$33,4,FALSE)</f>
        <v>""</v>
      </c>
      <c r="D1302" t="str">
        <f t="shared" ref="D1302:D1365" si="1055">IF(ISNUMBER(B1302),(A1302&amp;B1302),"")</f>
        <v/>
      </c>
    </row>
    <row r="1303" spans="1:4" x14ac:dyDescent="0.55000000000000004">
      <c r="A1303" t="s">
        <v>6</v>
      </c>
      <c r="D1303" t="str">
        <f t="shared" ref="D1303:D1366" si="1056">A1303</f>
        <v xml:space="preserve">  },</v>
      </c>
    </row>
    <row r="1304" spans="1:4" x14ac:dyDescent="0.55000000000000004">
      <c r="A1304" t="s">
        <v>222</v>
      </c>
      <c r="D1304" t="str">
        <f t="shared" si="1056"/>
        <v xml:space="preserve">  "18-22": {</v>
      </c>
    </row>
    <row r="1305" spans="1:4" x14ac:dyDescent="0.55000000000000004">
      <c r="A1305" t="s">
        <v>213</v>
      </c>
      <c r="B1305">
        <f t="shared" ref="B1305" si="1057">_xlfn.NUMBERVALUE(RIGHT(A1305,2))</f>
        <v>37</v>
      </c>
      <c r="D1305" t="str">
        <f t="shared" ref="D1305:D1368" si="1058">A1305&amp;","</f>
        <v xml:space="preserve">    "resultPage": 37,</v>
      </c>
    </row>
    <row r="1306" spans="1:4" x14ac:dyDescent="0.55000000000000004">
      <c r="A1306" t="s">
        <v>763</v>
      </c>
      <c r="B1306" t="str">
        <f>VLOOKUP(B1305,Tabelle3!$A$2:$E$33,3,FALSE)</f>
        <v>Jumping Up</v>
      </c>
      <c r="C1306" t="s">
        <v>762</v>
      </c>
      <c r="D1306" t="str">
        <f t="shared" ref="D1306" si="1059">_xlfn.CONCAT(A1306:C1306)</f>
        <v xml:space="preserve">    "message":  "Jumping Up",</v>
      </c>
    </row>
    <row r="1307" spans="1:4" x14ac:dyDescent="0.55000000000000004">
      <c r="A1307" t="s">
        <v>764</v>
      </c>
      <c r="B1307" t="str">
        <f>VLOOKUP(B1305,Tabelle3!$A$2:$E$33,5,FALSE)</f>
        <v>No Blue Add + 2 to any Orange</v>
      </c>
      <c r="C1307" t="s">
        <v>762</v>
      </c>
      <c r="D1307" t="str">
        <f t="shared" si="1034"/>
        <v xml:space="preserve">    "nextInstruction":  "No Blue Add + 2 to any Orange",</v>
      </c>
    </row>
    <row r="1308" spans="1:4" x14ac:dyDescent="0.55000000000000004">
      <c r="A1308" t="s">
        <v>765</v>
      </c>
      <c r="B1308" t="str">
        <f>VLOOKUP(B1305,Tabelle3!$A$2:$E$33,4,FALSE)</f>
        <v>""</v>
      </c>
      <c r="D1308" t="str">
        <f t="shared" ref="D1308:D1371" si="1060">IF(ISNUMBER(B1308),(A1308&amp;B1308),"")</f>
        <v/>
      </c>
    </row>
    <row r="1309" spans="1:4" x14ac:dyDescent="0.55000000000000004">
      <c r="A1309" t="s">
        <v>6</v>
      </c>
      <c r="D1309" t="str">
        <f t="shared" ref="D1309:D1372" si="1061">A1309</f>
        <v xml:space="preserve">  },</v>
      </c>
    </row>
    <row r="1310" spans="1:4" x14ac:dyDescent="0.55000000000000004">
      <c r="A1310" t="s">
        <v>223</v>
      </c>
      <c r="D1310" t="str">
        <f t="shared" si="1061"/>
        <v xml:space="preserve">  "18-24": {</v>
      </c>
    </row>
    <row r="1311" spans="1:4" x14ac:dyDescent="0.55000000000000004">
      <c r="A1311" t="s">
        <v>20</v>
      </c>
      <c r="B1311">
        <f t="shared" ref="B1311" si="1062">_xlfn.NUMBERVALUE(RIGHT(A1311,2))</f>
        <v>53</v>
      </c>
      <c r="D1311" t="str">
        <f t="shared" ref="D1311:D1374" si="1063">A1311&amp;","</f>
        <v xml:space="preserve">    "resultPage": 53,</v>
      </c>
    </row>
    <row r="1312" spans="1:4" x14ac:dyDescent="0.55000000000000004">
      <c r="A1312" t="s">
        <v>763</v>
      </c>
      <c r="B1312" t="str">
        <f>VLOOKUP(B1311,Tabelle3!$A$2:$E$33,3,FALSE)</f>
        <v>Body Wound</v>
      </c>
      <c r="C1312" t="s">
        <v>762</v>
      </c>
      <c r="D1312" t="str">
        <f t="shared" ref="D1312" si="1064">_xlfn.CONCAT(A1312:C1312)</f>
        <v xml:space="preserve">    "message":  "Body Wound",</v>
      </c>
    </row>
    <row r="1313" spans="1:4" x14ac:dyDescent="0.55000000000000004">
      <c r="A1313" t="s">
        <v>764</v>
      </c>
      <c r="B1313" t="str">
        <f>VLOOKUP(B1311,Tabelle3!$A$2:$E$33,5,FALSE)</f>
        <v>No Red No Orange</v>
      </c>
      <c r="C1313" t="s">
        <v>762</v>
      </c>
      <c r="D1313" t="str">
        <f t="shared" si="1034"/>
        <v xml:space="preserve">    "nextInstruction":  "No Red No Orange",</v>
      </c>
    </row>
    <row r="1314" spans="1:4" x14ac:dyDescent="0.55000000000000004">
      <c r="A1314" t="s">
        <v>765</v>
      </c>
      <c r="B1314">
        <f>VLOOKUP(B1311,Tabelle3!$A$2:$E$33,4,FALSE)</f>
        <v>5</v>
      </c>
      <c r="D1314" t="str">
        <f t="shared" ref="D1314:D1377" si="1065">IF(ISNUMBER(B1314),(A1314&amp;B1314),"")</f>
        <v xml:space="preserve">    "damageModifier": 5</v>
      </c>
    </row>
    <row r="1315" spans="1:4" x14ac:dyDescent="0.55000000000000004">
      <c r="A1315" t="s">
        <v>6</v>
      </c>
      <c r="D1315" t="str">
        <f t="shared" ref="D1315:D1378" si="1066">A1315</f>
        <v xml:space="preserve">  },</v>
      </c>
    </row>
    <row r="1316" spans="1:4" x14ac:dyDescent="0.55000000000000004">
      <c r="A1316" t="s">
        <v>224</v>
      </c>
      <c r="D1316" t="str">
        <f t="shared" si="1066"/>
        <v xml:space="preserve">  "18-26": {</v>
      </c>
    </row>
    <row r="1317" spans="1:4" x14ac:dyDescent="0.55000000000000004">
      <c r="A1317" t="s">
        <v>35</v>
      </c>
      <c r="B1317">
        <f t="shared" ref="B1317" si="1067">_xlfn.NUMBERVALUE(RIGHT(A1317,2))</f>
        <v>59</v>
      </c>
      <c r="D1317" t="str">
        <f t="shared" ref="D1317:D1380" si="1068">A1317&amp;","</f>
        <v xml:space="preserve">    "resultPage": 59,</v>
      </c>
    </row>
    <row r="1318" spans="1:4" x14ac:dyDescent="0.55000000000000004">
      <c r="A1318" t="s">
        <v>763</v>
      </c>
      <c r="B1318" t="str">
        <f>VLOOKUP(B1317,Tabelle3!$A$2:$E$33,3,FALSE)</f>
        <v>Pushed off Balance</v>
      </c>
      <c r="C1318" t="s">
        <v>762</v>
      </c>
      <c r="D1318" t="str">
        <f t="shared" ref="D1318" si="1069">_xlfn.CONCAT(A1318:C1318)</f>
        <v xml:space="preserve">    "message":  "Pushed off Balance",</v>
      </c>
    </row>
    <row r="1319" spans="1:4" x14ac:dyDescent="0.55000000000000004">
      <c r="A1319" t="s">
        <v>764</v>
      </c>
      <c r="B1319" t="str">
        <f>VLOOKUP(B1317,Tabelle3!$A$2:$E$33,5,FALSE)</f>
        <v>Only Green Only Yellow</v>
      </c>
      <c r="C1319" t="s">
        <v>762</v>
      </c>
      <c r="D1319" t="str">
        <f t="shared" si="1034"/>
        <v xml:space="preserve">    "nextInstruction":  "Only Green Only Yellow",</v>
      </c>
    </row>
    <row r="1320" spans="1:4" x14ac:dyDescent="0.55000000000000004">
      <c r="A1320" t="s">
        <v>765</v>
      </c>
      <c r="B1320">
        <f>VLOOKUP(B1317,Tabelle3!$A$2:$E$33,4,FALSE)</f>
        <v>0</v>
      </c>
      <c r="D1320" t="str">
        <f t="shared" ref="D1320:D1383" si="1070">IF(ISNUMBER(B1320),(A1320&amp;B1320),"")</f>
        <v xml:space="preserve">    "damageModifier": 0</v>
      </c>
    </row>
    <row r="1321" spans="1:4" x14ac:dyDescent="0.55000000000000004">
      <c r="A1321" t="s">
        <v>6</v>
      </c>
      <c r="D1321" t="str">
        <f t="shared" ref="D1321:D1384" si="1071">A1321</f>
        <v xml:space="preserve">  },</v>
      </c>
    </row>
    <row r="1322" spans="1:4" x14ac:dyDescent="0.55000000000000004">
      <c r="A1322" t="s">
        <v>225</v>
      </c>
      <c r="D1322" t="str">
        <f t="shared" si="1071"/>
        <v xml:space="preserve">  "18-28": {</v>
      </c>
    </row>
    <row r="1323" spans="1:4" x14ac:dyDescent="0.55000000000000004">
      <c r="A1323" t="s">
        <v>213</v>
      </c>
      <c r="B1323">
        <f t="shared" ref="B1323" si="1072">_xlfn.NUMBERVALUE(RIGHT(A1323,2))</f>
        <v>37</v>
      </c>
      <c r="D1323" t="str">
        <f t="shared" ref="D1323:D1386" si="1073">A1323&amp;","</f>
        <v xml:space="preserve">    "resultPage": 37,</v>
      </c>
    </row>
    <row r="1324" spans="1:4" x14ac:dyDescent="0.55000000000000004">
      <c r="A1324" t="s">
        <v>763</v>
      </c>
      <c r="B1324" t="str">
        <f>VLOOKUP(B1323,Tabelle3!$A$2:$E$33,3,FALSE)</f>
        <v>Jumping Up</v>
      </c>
      <c r="C1324" t="s">
        <v>762</v>
      </c>
      <c r="D1324" t="str">
        <f t="shared" ref="D1324" si="1074">_xlfn.CONCAT(A1324:C1324)</f>
        <v xml:space="preserve">    "message":  "Jumping Up",</v>
      </c>
    </row>
    <row r="1325" spans="1:4" x14ac:dyDescent="0.55000000000000004">
      <c r="A1325" t="s">
        <v>764</v>
      </c>
      <c r="B1325" t="str">
        <f>VLOOKUP(B1323,Tabelle3!$A$2:$E$33,5,FALSE)</f>
        <v>No Blue Add + 2 to any Orange</v>
      </c>
      <c r="C1325" t="s">
        <v>762</v>
      </c>
      <c r="D1325" t="str">
        <f t="shared" si="1034"/>
        <v xml:space="preserve">    "nextInstruction":  "No Blue Add + 2 to any Orange",</v>
      </c>
    </row>
    <row r="1326" spans="1:4" x14ac:dyDescent="0.55000000000000004">
      <c r="A1326" t="s">
        <v>765</v>
      </c>
      <c r="B1326" t="str">
        <f>VLOOKUP(B1323,Tabelle3!$A$2:$E$33,4,FALSE)</f>
        <v>""</v>
      </c>
      <c r="D1326" t="str">
        <f t="shared" ref="D1326:D1389" si="1075">IF(ISNUMBER(B1326),(A1326&amp;B1326),"")</f>
        <v/>
      </c>
    </row>
    <row r="1327" spans="1:4" x14ac:dyDescent="0.55000000000000004">
      <c r="A1327" t="s">
        <v>6</v>
      </c>
      <c r="D1327" t="str">
        <f t="shared" ref="D1327:D1390" si="1076">A1327</f>
        <v xml:space="preserve">  },</v>
      </c>
    </row>
    <row r="1328" spans="1:4" x14ac:dyDescent="0.55000000000000004">
      <c r="A1328" t="s">
        <v>226</v>
      </c>
      <c r="D1328" t="str">
        <f t="shared" si="1076"/>
        <v xml:space="preserve">  "18-30": {</v>
      </c>
    </row>
    <row r="1329" spans="1:4" x14ac:dyDescent="0.55000000000000004">
      <c r="A1329" t="s">
        <v>213</v>
      </c>
      <c r="B1329">
        <f t="shared" ref="B1329" si="1077">_xlfn.NUMBERVALUE(RIGHT(A1329,2))</f>
        <v>37</v>
      </c>
      <c r="D1329" t="str">
        <f t="shared" ref="D1329:D1392" si="1078">A1329&amp;","</f>
        <v xml:space="preserve">    "resultPage": 37,</v>
      </c>
    </row>
    <row r="1330" spans="1:4" x14ac:dyDescent="0.55000000000000004">
      <c r="A1330" t="s">
        <v>763</v>
      </c>
      <c r="B1330" t="str">
        <f>VLOOKUP(B1329,Tabelle3!$A$2:$E$33,3,FALSE)</f>
        <v>Jumping Up</v>
      </c>
      <c r="C1330" t="s">
        <v>762</v>
      </c>
      <c r="D1330" t="str">
        <f t="shared" ref="D1330" si="1079">_xlfn.CONCAT(A1330:C1330)</f>
        <v xml:space="preserve">    "message":  "Jumping Up",</v>
      </c>
    </row>
    <row r="1331" spans="1:4" x14ac:dyDescent="0.55000000000000004">
      <c r="A1331" t="s">
        <v>764</v>
      </c>
      <c r="B1331" t="str">
        <f>VLOOKUP(B1329,Tabelle3!$A$2:$E$33,5,FALSE)</f>
        <v>No Blue Add + 2 to any Orange</v>
      </c>
      <c r="C1331" t="s">
        <v>762</v>
      </c>
      <c r="D1331" t="str">
        <f t="shared" si="1034"/>
        <v xml:space="preserve">    "nextInstruction":  "No Blue Add + 2 to any Orange",</v>
      </c>
    </row>
    <row r="1332" spans="1:4" x14ac:dyDescent="0.55000000000000004">
      <c r="A1332" t="s">
        <v>765</v>
      </c>
      <c r="B1332" t="str">
        <f>VLOOKUP(B1329,Tabelle3!$A$2:$E$33,4,FALSE)</f>
        <v>""</v>
      </c>
      <c r="D1332" t="str">
        <f t="shared" ref="D1332:D1395" si="1080">IF(ISNUMBER(B1332),(A1332&amp;B1332),"")</f>
        <v/>
      </c>
    </row>
    <row r="1333" spans="1:4" x14ac:dyDescent="0.55000000000000004">
      <c r="A1333" t="s">
        <v>6</v>
      </c>
      <c r="D1333" t="str">
        <f t="shared" ref="D1333:D1396" si="1081">A1333</f>
        <v xml:space="preserve">  },</v>
      </c>
    </row>
    <row r="1334" spans="1:4" x14ac:dyDescent="0.55000000000000004">
      <c r="A1334" t="s">
        <v>227</v>
      </c>
      <c r="D1334" t="str">
        <f t="shared" si="1081"/>
        <v xml:space="preserve">  "18-32": {</v>
      </c>
    </row>
    <row r="1335" spans="1:4" x14ac:dyDescent="0.55000000000000004">
      <c r="A1335" t="s">
        <v>213</v>
      </c>
      <c r="B1335">
        <f t="shared" ref="B1335" si="1082">_xlfn.NUMBERVALUE(RIGHT(A1335,2))</f>
        <v>37</v>
      </c>
      <c r="D1335" t="str">
        <f t="shared" ref="D1335:D1398" si="1083">A1335&amp;","</f>
        <v xml:space="preserve">    "resultPage": 37,</v>
      </c>
    </row>
    <row r="1336" spans="1:4" x14ac:dyDescent="0.55000000000000004">
      <c r="A1336" t="s">
        <v>763</v>
      </c>
      <c r="B1336" t="str">
        <f>VLOOKUP(B1335,Tabelle3!$A$2:$E$33,3,FALSE)</f>
        <v>Jumping Up</v>
      </c>
      <c r="C1336" t="s">
        <v>762</v>
      </c>
      <c r="D1336" t="str">
        <f t="shared" ref="D1336" si="1084">_xlfn.CONCAT(A1336:C1336)</f>
        <v xml:space="preserve">    "message":  "Jumping Up",</v>
      </c>
    </row>
    <row r="1337" spans="1:4" x14ac:dyDescent="0.55000000000000004">
      <c r="A1337" t="s">
        <v>764</v>
      </c>
      <c r="B1337" t="str">
        <f>VLOOKUP(B1335,Tabelle3!$A$2:$E$33,5,FALSE)</f>
        <v>No Blue Add + 2 to any Orange</v>
      </c>
      <c r="C1337" t="s">
        <v>762</v>
      </c>
      <c r="D1337" t="str">
        <f t="shared" si="1034"/>
        <v xml:space="preserve">    "nextInstruction":  "No Blue Add + 2 to any Orange",</v>
      </c>
    </row>
    <row r="1338" spans="1:4" x14ac:dyDescent="0.55000000000000004">
      <c r="A1338" t="s">
        <v>765</v>
      </c>
      <c r="B1338" t="str">
        <f>VLOOKUP(B1335,Tabelle3!$A$2:$E$33,4,FALSE)</f>
        <v>""</v>
      </c>
      <c r="D1338" t="str">
        <f t="shared" ref="D1338:D1401" si="1085">IF(ISNUMBER(B1338),(A1338&amp;B1338),"")</f>
        <v/>
      </c>
    </row>
    <row r="1339" spans="1:4" x14ac:dyDescent="0.55000000000000004">
      <c r="A1339" t="s">
        <v>6</v>
      </c>
      <c r="D1339" t="str">
        <f t="shared" ref="D1339:D1402" si="1086">A1339</f>
        <v xml:space="preserve">  },</v>
      </c>
    </row>
    <row r="1340" spans="1:4" x14ac:dyDescent="0.55000000000000004">
      <c r="A1340" t="s">
        <v>228</v>
      </c>
      <c r="D1340" t="str">
        <f t="shared" si="1086"/>
        <v xml:space="preserve">  "18-34": {</v>
      </c>
    </row>
    <row r="1341" spans="1:4" x14ac:dyDescent="0.55000000000000004">
      <c r="A1341" t="s">
        <v>213</v>
      </c>
      <c r="B1341">
        <f t="shared" ref="B1341" si="1087">_xlfn.NUMBERVALUE(RIGHT(A1341,2))</f>
        <v>37</v>
      </c>
      <c r="D1341" t="str">
        <f t="shared" ref="D1341:D1404" si="1088">A1341&amp;","</f>
        <v xml:space="preserve">    "resultPage": 37,</v>
      </c>
    </row>
    <row r="1342" spans="1:4" x14ac:dyDescent="0.55000000000000004">
      <c r="A1342" t="s">
        <v>763</v>
      </c>
      <c r="B1342" t="str">
        <f>VLOOKUP(B1341,Tabelle3!$A$2:$E$33,3,FALSE)</f>
        <v>Jumping Up</v>
      </c>
      <c r="C1342" t="s">
        <v>762</v>
      </c>
      <c r="D1342" t="str">
        <f t="shared" ref="D1342:D1403" si="1089">_xlfn.CONCAT(A1342:C1342)</f>
        <v xml:space="preserve">    "message":  "Jumping Up",</v>
      </c>
    </row>
    <row r="1343" spans="1:4" x14ac:dyDescent="0.55000000000000004">
      <c r="A1343" t="s">
        <v>764</v>
      </c>
      <c r="B1343" t="str">
        <f>VLOOKUP(B1341,Tabelle3!$A$2:$E$33,5,FALSE)</f>
        <v>No Blue Add + 2 to any Orange</v>
      </c>
      <c r="C1343" t="s">
        <v>762</v>
      </c>
      <c r="D1343" t="str">
        <f t="shared" si="1089"/>
        <v xml:space="preserve">    "nextInstruction":  "No Blue Add + 2 to any Orange",</v>
      </c>
    </row>
    <row r="1344" spans="1:4" x14ac:dyDescent="0.55000000000000004">
      <c r="A1344" t="s">
        <v>765</v>
      </c>
      <c r="B1344" t="str">
        <f>VLOOKUP(B1341,Tabelle3!$A$2:$E$33,4,FALSE)</f>
        <v>""</v>
      </c>
      <c r="D1344" t="str">
        <f t="shared" ref="D1344:D1407" si="1090">IF(ISNUMBER(B1344),(A1344&amp;B1344),"")</f>
        <v/>
      </c>
    </row>
    <row r="1345" spans="1:4" x14ac:dyDescent="0.55000000000000004">
      <c r="A1345" t="s">
        <v>6</v>
      </c>
      <c r="D1345" t="str">
        <f t="shared" ref="D1345:D1408" si="1091">A1345</f>
        <v xml:space="preserve">  },</v>
      </c>
    </row>
    <row r="1346" spans="1:4" x14ac:dyDescent="0.55000000000000004">
      <c r="A1346" t="s">
        <v>229</v>
      </c>
      <c r="D1346" t="str">
        <f t="shared" si="1091"/>
        <v xml:space="preserve">  "18-36": {</v>
      </c>
    </row>
    <row r="1347" spans="1:4" x14ac:dyDescent="0.55000000000000004">
      <c r="A1347" t="s">
        <v>23</v>
      </c>
      <c r="B1347">
        <f t="shared" ref="B1347" si="1092">_xlfn.NUMBERVALUE(RIGHT(A1347,2))</f>
        <v>7</v>
      </c>
      <c r="D1347" t="str">
        <f t="shared" ref="D1347:D1410" si="1093">A1347&amp;","</f>
        <v xml:space="preserve">    "resultPage": 7,</v>
      </c>
    </row>
    <row r="1348" spans="1:4" x14ac:dyDescent="0.55000000000000004">
      <c r="A1348" t="s">
        <v>763</v>
      </c>
      <c r="B1348" t="str">
        <f>VLOOKUP(B1347,Tabelle3!$A$2:$E$33,3,FALSE)</f>
        <v>Dazed</v>
      </c>
      <c r="C1348" t="s">
        <v>762</v>
      </c>
      <c r="D1348" t="str">
        <f t="shared" ref="D1348" si="1094">_xlfn.CONCAT(A1348:C1348)</f>
        <v xml:space="preserve">    "message":  "Dazed",</v>
      </c>
    </row>
    <row r="1349" spans="1:4" x14ac:dyDescent="0.55000000000000004">
      <c r="A1349" t="s">
        <v>764</v>
      </c>
      <c r="B1349" t="str">
        <f>VLOOKUP(B1347,Tabelle3!$A$2:$E$33,5,FALSE)</f>
        <v>Only Green Only Yellow</v>
      </c>
      <c r="C1349" t="s">
        <v>762</v>
      </c>
      <c r="D1349" t="str">
        <f t="shared" si="1089"/>
        <v xml:space="preserve">    "nextInstruction":  "Only Green Only Yellow",</v>
      </c>
    </row>
    <row r="1350" spans="1:4" x14ac:dyDescent="0.55000000000000004">
      <c r="A1350" t="s">
        <v>765</v>
      </c>
      <c r="B1350">
        <f>VLOOKUP(B1347,Tabelle3!$A$2:$E$33,4,FALSE)</f>
        <v>7</v>
      </c>
      <c r="D1350" t="str">
        <f t="shared" ref="D1350:D1413" si="1095">IF(ISNUMBER(B1350),(A1350&amp;B1350),"")</f>
        <v xml:space="preserve">    "damageModifier": 7</v>
      </c>
    </row>
    <row r="1351" spans="1:4" x14ac:dyDescent="0.55000000000000004">
      <c r="A1351" t="s">
        <v>6</v>
      </c>
      <c r="D1351" t="str">
        <f t="shared" ref="D1351:D1414" si="1096">A1351</f>
        <v xml:space="preserve">  },</v>
      </c>
    </row>
    <row r="1352" spans="1:4" x14ac:dyDescent="0.55000000000000004">
      <c r="A1352" t="s">
        <v>230</v>
      </c>
      <c r="D1352" t="str">
        <f t="shared" si="1096"/>
        <v xml:space="preserve">  "18-38": {</v>
      </c>
    </row>
    <row r="1353" spans="1:4" x14ac:dyDescent="0.55000000000000004">
      <c r="A1353" t="s">
        <v>138</v>
      </c>
      <c r="B1353">
        <f t="shared" ref="B1353" si="1097">_xlfn.NUMBERVALUE(RIGHT(A1353,2))</f>
        <v>13</v>
      </c>
      <c r="D1353" t="str">
        <f t="shared" ref="D1353:D1416" si="1098">A1353&amp;","</f>
        <v xml:space="preserve">    "resultPage": 13,</v>
      </c>
    </row>
    <row r="1354" spans="1:4" x14ac:dyDescent="0.55000000000000004">
      <c r="A1354" t="s">
        <v>763</v>
      </c>
      <c r="B1354" t="str">
        <f>VLOOKUP(B1353,Tabelle3!$A$2:$E$33,3,FALSE)</f>
        <v>Leg Wound</v>
      </c>
      <c r="C1354" t="s">
        <v>762</v>
      </c>
      <c r="D1354" t="str">
        <f t="shared" ref="D1354" si="1099">_xlfn.CONCAT(A1354:C1354)</f>
        <v xml:space="preserve">    "message":  "Leg Wound",</v>
      </c>
    </row>
    <row r="1355" spans="1:4" x14ac:dyDescent="0.55000000000000004">
      <c r="A1355" t="s">
        <v>764</v>
      </c>
      <c r="B1355" t="str">
        <f>VLOOKUP(B1353,Tabelle3!$A$2:$E$33,5,FALSE)</f>
        <v>No Orange</v>
      </c>
      <c r="C1355" t="s">
        <v>762</v>
      </c>
      <c r="D1355" t="str">
        <f t="shared" si="1089"/>
        <v xml:space="preserve">    "nextInstruction":  "No Orange",</v>
      </c>
    </row>
    <row r="1356" spans="1:4" x14ac:dyDescent="0.55000000000000004">
      <c r="A1356" t="s">
        <v>765</v>
      </c>
      <c r="B1356">
        <f>VLOOKUP(B1353,Tabelle3!$A$2:$E$33,4,FALSE)</f>
        <v>4</v>
      </c>
      <c r="D1356" t="str">
        <f t="shared" ref="D1356:D1419" si="1100">IF(ISNUMBER(B1356),(A1356&amp;B1356),"")</f>
        <v xml:space="preserve">    "damageModifier": 4</v>
      </c>
    </row>
    <row r="1357" spans="1:4" x14ac:dyDescent="0.55000000000000004">
      <c r="A1357" t="s">
        <v>6</v>
      </c>
      <c r="D1357" t="str">
        <f t="shared" ref="D1357:D1420" si="1101">A1357</f>
        <v xml:space="preserve">  },</v>
      </c>
    </row>
    <row r="1358" spans="1:4" x14ac:dyDescent="0.55000000000000004">
      <c r="A1358" t="s">
        <v>231</v>
      </c>
      <c r="D1358" t="str">
        <f t="shared" si="1101"/>
        <v xml:space="preserve">  "18-40": {</v>
      </c>
    </row>
    <row r="1359" spans="1:4" x14ac:dyDescent="0.55000000000000004">
      <c r="A1359" t="s">
        <v>96</v>
      </c>
      <c r="B1359">
        <f t="shared" ref="B1359" si="1102">_xlfn.NUMBERVALUE(RIGHT(A1359,2))</f>
        <v>23</v>
      </c>
      <c r="D1359" t="str">
        <f t="shared" ref="D1359:D1422" si="1103">A1359&amp;","</f>
        <v xml:space="preserve">    "resultPage": 23,</v>
      </c>
    </row>
    <row r="1360" spans="1:4" x14ac:dyDescent="0.55000000000000004">
      <c r="A1360" t="s">
        <v>763</v>
      </c>
      <c r="B1360" t="str">
        <f>VLOOKUP(B1359,Tabelle3!$A$2:$E$33,3,FALSE)</f>
        <v>Behind You</v>
      </c>
      <c r="C1360" t="s">
        <v>762</v>
      </c>
      <c r="D1360" t="str">
        <f t="shared" ref="D1360" si="1104">_xlfn.CONCAT(A1360:C1360)</f>
        <v xml:space="preserve">    "message":  "Behind You",</v>
      </c>
    </row>
    <row r="1361" spans="1:4" x14ac:dyDescent="0.55000000000000004">
      <c r="A1361" t="s">
        <v>764</v>
      </c>
      <c r="B1361" t="str">
        <f>VLOOKUP(B1359,Tabelle3!$A$2:$E$33,5,FALSE)</f>
        <v/>
      </c>
      <c r="C1361" t="s">
        <v>762</v>
      </c>
      <c r="D1361" t="str">
        <f t="shared" si="1089"/>
        <v xml:space="preserve">    "nextInstruction":  "",</v>
      </c>
    </row>
    <row r="1362" spans="1:4" x14ac:dyDescent="0.55000000000000004">
      <c r="A1362" t="s">
        <v>765</v>
      </c>
      <c r="B1362" t="str">
        <f>VLOOKUP(B1359,Tabelle3!$A$2:$E$33,4,FALSE)</f>
        <v>""</v>
      </c>
      <c r="D1362" t="str">
        <f t="shared" ref="D1362:D1425" si="1105">IF(ISNUMBER(B1362),(A1362&amp;B1362),"")</f>
        <v/>
      </c>
    </row>
    <row r="1363" spans="1:4" x14ac:dyDescent="0.55000000000000004">
      <c r="A1363" t="s">
        <v>6</v>
      </c>
      <c r="D1363" t="str">
        <f t="shared" ref="D1363:D1426" si="1106">A1363</f>
        <v xml:space="preserve">  },</v>
      </c>
    </row>
    <row r="1364" spans="1:4" x14ac:dyDescent="0.55000000000000004">
      <c r="A1364" t="s">
        <v>232</v>
      </c>
      <c r="D1364" t="str">
        <f t="shared" si="1106"/>
        <v xml:space="preserve">  "18-42": {</v>
      </c>
    </row>
    <row r="1365" spans="1:4" x14ac:dyDescent="0.55000000000000004">
      <c r="A1365" t="s">
        <v>213</v>
      </c>
      <c r="B1365">
        <f t="shared" ref="B1365" si="1107">_xlfn.NUMBERVALUE(RIGHT(A1365,2))</f>
        <v>37</v>
      </c>
      <c r="D1365" t="str">
        <f t="shared" ref="D1365:D1428" si="1108">A1365&amp;","</f>
        <v xml:space="preserve">    "resultPage": 37,</v>
      </c>
    </row>
    <row r="1366" spans="1:4" x14ac:dyDescent="0.55000000000000004">
      <c r="A1366" t="s">
        <v>763</v>
      </c>
      <c r="B1366" t="str">
        <f>VLOOKUP(B1365,Tabelle3!$A$2:$E$33,3,FALSE)</f>
        <v>Jumping Up</v>
      </c>
      <c r="C1366" t="s">
        <v>762</v>
      </c>
      <c r="D1366" t="str">
        <f t="shared" ref="D1366" si="1109">_xlfn.CONCAT(A1366:C1366)</f>
        <v xml:space="preserve">    "message":  "Jumping Up",</v>
      </c>
    </row>
    <row r="1367" spans="1:4" x14ac:dyDescent="0.55000000000000004">
      <c r="A1367" t="s">
        <v>764</v>
      </c>
      <c r="B1367" t="str">
        <f>VLOOKUP(B1365,Tabelle3!$A$2:$E$33,5,FALSE)</f>
        <v>No Blue Add + 2 to any Orange</v>
      </c>
      <c r="C1367" t="s">
        <v>762</v>
      </c>
      <c r="D1367" t="str">
        <f t="shared" si="1089"/>
        <v xml:space="preserve">    "nextInstruction":  "No Blue Add + 2 to any Orange",</v>
      </c>
    </row>
    <row r="1368" spans="1:4" x14ac:dyDescent="0.55000000000000004">
      <c r="A1368" t="s">
        <v>765</v>
      </c>
      <c r="B1368" t="str">
        <f>VLOOKUP(B1365,Tabelle3!$A$2:$E$33,4,FALSE)</f>
        <v>""</v>
      </c>
      <c r="D1368" t="str">
        <f t="shared" ref="D1368:D1431" si="1110">IF(ISNUMBER(B1368),(A1368&amp;B1368),"")</f>
        <v/>
      </c>
    </row>
    <row r="1369" spans="1:4" x14ac:dyDescent="0.55000000000000004">
      <c r="A1369" t="s">
        <v>6</v>
      </c>
      <c r="D1369" t="str">
        <f t="shared" ref="D1369:D1432" si="1111">A1369</f>
        <v xml:space="preserve">  },</v>
      </c>
    </row>
    <row r="1370" spans="1:4" x14ac:dyDescent="0.55000000000000004">
      <c r="A1370" t="s">
        <v>233</v>
      </c>
      <c r="D1370" t="str">
        <f t="shared" si="1111"/>
        <v xml:space="preserve">  "18-44": {</v>
      </c>
    </row>
    <row r="1371" spans="1:4" x14ac:dyDescent="0.55000000000000004">
      <c r="A1371" t="s">
        <v>23</v>
      </c>
      <c r="B1371">
        <f t="shared" ref="B1371" si="1112">_xlfn.NUMBERVALUE(RIGHT(A1371,2))</f>
        <v>7</v>
      </c>
      <c r="D1371" t="str">
        <f t="shared" ref="D1371:D1434" si="1113">A1371&amp;","</f>
        <v xml:space="preserve">    "resultPage": 7,</v>
      </c>
    </row>
    <row r="1372" spans="1:4" x14ac:dyDescent="0.55000000000000004">
      <c r="A1372" t="s">
        <v>763</v>
      </c>
      <c r="B1372" t="str">
        <f>VLOOKUP(B1371,Tabelle3!$A$2:$E$33,3,FALSE)</f>
        <v>Dazed</v>
      </c>
      <c r="C1372" t="s">
        <v>762</v>
      </c>
      <c r="D1372" t="str">
        <f t="shared" ref="D1372" si="1114">_xlfn.CONCAT(A1372:C1372)</f>
        <v xml:space="preserve">    "message":  "Dazed",</v>
      </c>
    </row>
    <row r="1373" spans="1:4" x14ac:dyDescent="0.55000000000000004">
      <c r="A1373" t="s">
        <v>764</v>
      </c>
      <c r="B1373" t="str">
        <f>VLOOKUP(B1371,Tabelle3!$A$2:$E$33,5,FALSE)</f>
        <v>Only Green Only Yellow</v>
      </c>
      <c r="C1373" t="s">
        <v>762</v>
      </c>
      <c r="D1373" t="str">
        <f t="shared" si="1089"/>
        <v xml:space="preserve">    "nextInstruction":  "Only Green Only Yellow",</v>
      </c>
    </row>
    <row r="1374" spans="1:4" x14ac:dyDescent="0.55000000000000004">
      <c r="A1374" t="s">
        <v>765</v>
      </c>
      <c r="B1374">
        <f>VLOOKUP(B1371,Tabelle3!$A$2:$E$33,4,FALSE)</f>
        <v>7</v>
      </c>
      <c r="D1374" t="str">
        <f t="shared" ref="D1374:D1437" si="1115">IF(ISNUMBER(B1374),(A1374&amp;B1374),"")</f>
        <v xml:space="preserve">    "damageModifier": 7</v>
      </c>
    </row>
    <row r="1375" spans="1:4" x14ac:dyDescent="0.55000000000000004">
      <c r="A1375" t="s">
        <v>6</v>
      </c>
      <c r="D1375" t="str">
        <f t="shared" ref="D1375:D1438" si="1116">A1375</f>
        <v xml:space="preserve">  },</v>
      </c>
    </row>
    <row r="1376" spans="1:4" x14ac:dyDescent="0.55000000000000004">
      <c r="A1376" t="s">
        <v>234</v>
      </c>
      <c r="D1376" t="str">
        <f t="shared" si="1116"/>
        <v xml:space="preserve">  "18-46": {</v>
      </c>
    </row>
    <row r="1377" spans="1:4" x14ac:dyDescent="0.55000000000000004">
      <c r="A1377" t="s">
        <v>213</v>
      </c>
      <c r="B1377">
        <f t="shared" ref="B1377" si="1117">_xlfn.NUMBERVALUE(RIGHT(A1377,2))</f>
        <v>37</v>
      </c>
      <c r="D1377" t="str">
        <f t="shared" ref="D1377:D1440" si="1118">A1377&amp;","</f>
        <v xml:space="preserve">    "resultPage": 37,</v>
      </c>
    </row>
    <row r="1378" spans="1:4" x14ac:dyDescent="0.55000000000000004">
      <c r="A1378" t="s">
        <v>763</v>
      </c>
      <c r="B1378" t="str">
        <f>VLOOKUP(B1377,Tabelle3!$A$2:$E$33,3,FALSE)</f>
        <v>Jumping Up</v>
      </c>
      <c r="C1378" t="s">
        <v>762</v>
      </c>
      <c r="D1378" t="str">
        <f t="shared" ref="D1378" si="1119">_xlfn.CONCAT(A1378:C1378)</f>
        <v xml:space="preserve">    "message":  "Jumping Up",</v>
      </c>
    </row>
    <row r="1379" spans="1:4" x14ac:dyDescent="0.55000000000000004">
      <c r="A1379" t="s">
        <v>764</v>
      </c>
      <c r="B1379" t="str">
        <f>VLOOKUP(B1377,Tabelle3!$A$2:$E$33,5,FALSE)</f>
        <v>No Blue Add + 2 to any Orange</v>
      </c>
      <c r="C1379" t="s">
        <v>762</v>
      </c>
      <c r="D1379" t="str">
        <f t="shared" si="1089"/>
        <v xml:space="preserve">    "nextInstruction":  "No Blue Add + 2 to any Orange",</v>
      </c>
    </row>
    <row r="1380" spans="1:4" x14ac:dyDescent="0.55000000000000004">
      <c r="A1380" t="s">
        <v>765</v>
      </c>
      <c r="B1380" t="str">
        <f>VLOOKUP(B1377,Tabelle3!$A$2:$E$33,4,FALSE)</f>
        <v>""</v>
      </c>
      <c r="D1380" t="str">
        <f t="shared" ref="D1380:D1443" si="1120">IF(ISNUMBER(B1380),(A1380&amp;B1380),"")</f>
        <v/>
      </c>
    </row>
    <row r="1381" spans="1:4" x14ac:dyDescent="0.55000000000000004">
      <c r="A1381" t="s">
        <v>6</v>
      </c>
      <c r="D1381" t="str">
        <f t="shared" ref="D1381:D1444" si="1121">A1381</f>
        <v xml:space="preserve">  },</v>
      </c>
    </row>
    <row r="1382" spans="1:4" x14ac:dyDescent="0.55000000000000004">
      <c r="A1382" t="s">
        <v>235</v>
      </c>
      <c r="D1382" t="str">
        <f t="shared" si="1121"/>
        <v xml:space="preserve">  "18-48": {</v>
      </c>
    </row>
    <row r="1383" spans="1:4" x14ac:dyDescent="0.55000000000000004">
      <c r="A1383" t="s">
        <v>58</v>
      </c>
      <c r="B1383">
        <f t="shared" ref="B1383" si="1122">_xlfn.NUMBERVALUE(RIGHT(A1383,2))</f>
        <v>19</v>
      </c>
      <c r="D1383" t="str">
        <f t="shared" ref="D1383:D1446" si="1123">A1383&amp;","</f>
        <v xml:space="preserve">    "resultPage": 19,</v>
      </c>
    </row>
    <row r="1384" spans="1:4" x14ac:dyDescent="0.55000000000000004">
      <c r="A1384" t="s">
        <v>763</v>
      </c>
      <c r="B1384" t="str">
        <f>VLOOKUP(B1383,Tabelle3!$A$2:$E$33,3,FALSE)</f>
        <v>Struck off Balance</v>
      </c>
      <c r="C1384" t="s">
        <v>762</v>
      </c>
      <c r="D1384" t="str">
        <f t="shared" ref="D1384" si="1124">_xlfn.CONCAT(A1384:C1384)</f>
        <v xml:space="preserve">    "message":  "Struck off Balance",</v>
      </c>
    </row>
    <row r="1385" spans="1:4" x14ac:dyDescent="0.55000000000000004">
      <c r="A1385" t="s">
        <v>764</v>
      </c>
      <c r="B1385" t="str">
        <f>VLOOKUP(B1383,Tabelle3!$A$2:$E$33,5,FALSE)</f>
        <v>Only Green Only Yellow</v>
      </c>
      <c r="C1385" t="s">
        <v>762</v>
      </c>
      <c r="D1385" t="str">
        <f t="shared" si="1089"/>
        <v xml:space="preserve">    "nextInstruction":  "Only Green Only Yellow",</v>
      </c>
    </row>
    <row r="1386" spans="1:4" x14ac:dyDescent="0.55000000000000004">
      <c r="A1386" t="s">
        <v>765</v>
      </c>
      <c r="B1386">
        <f>VLOOKUP(B1383,Tabelle3!$A$2:$E$33,4,FALSE)</f>
        <v>0</v>
      </c>
      <c r="D1386" t="str">
        <f t="shared" ref="D1386:D1449" si="1125">IF(ISNUMBER(B1386),(A1386&amp;B1386),"")</f>
        <v xml:space="preserve">    "damageModifier": 0</v>
      </c>
    </row>
    <row r="1387" spans="1:4" x14ac:dyDescent="0.55000000000000004">
      <c r="A1387" t="s">
        <v>6</v>
      </c>
      <c r="D1387" t="str">
        <f t="shared" ref="D1387:D1450" si="1126">A1387</f>
        <v xml:space="preserve">  },</v>
      </c>
    </row>
    <row r="1388" spans="1:4" x14ac:dyDescent="0.55000000000000004">
      <c r="A1388" t="s">
        <v>236</v>
      </c>
      <c r="D1388" t="str">
        <f t="shared" si="1126"/>
        <v xml:space="preserve">  "20-4": {</v>
      </c>
    </row>
    <row r="1389" spans="1:4" x14ac:dyDescent="0.55000000000000004">
      <c r="A1389" t="s">
        <v>35</v>
      </c>
      <c r="B1389">
        <f t="shared" ref="B1389" si="1127">_xlfn.NUMBERVALUE(RIGHT(A1389,2))</f>
        <v>59</v>
      </c>
      <c r="D1389" t="str">
        <f t="shared" ref="D1389:D1452" si="1128">A1389&amp;","</f>
        <v xml:space="preserve">    "resultPage": 59,</v>
      </c>
    </row>
    <row r="1390" spans="1:4" x14ac:dyDescent="0.55000000000000004">
      <c r="A1390" t="s">
        <v>763</v>
      </c>
      <c r="B1390" t="str">
        <f>VLOOKUP(B1389,Tabelle3!$A$2:$E$33,3,FALSE)</f>
        <v>Pushed off Balance</v>
      </c>
      <c r="C1390" t="s">
        <v>762</v>
      </c>
      <c r="D1390" t="str">
        <f t="shared" ref="D1390" si="1129">_xlfn.CONCAT(A1390:C1390)</f>
        <v xml:space="preserve">    "message":  "Pushed off Balance",</v>
      </c>
    </row>
    <row r="1391" spans="1:4" x14ac:dyDescent="0.55000000000000004">
      <c r="A1391" t="s">
        <v>764</v>
      </c>
      <c r="B1391" t="str">
        <f>VLOOKUP(B1389,Tabelle3!$A$2:$E$33,5,FALSE)</f>
        <v>Only Green Only Yellow</v>
      </c>
      <c r="C1391" t="s">
        <v>762</v>
      </c>
      <c r="D1391" t="str">
        <f t="shared" si="1089"/>
        <v xml:space="preserve">    "nextInstruction":  "Only Green Only Yellow",</v>
      </c>
    </row>
    <row r="1392" spans="1:4" x14ac:dyDescent="0.55000000000000004">
      <c r="A1392" t="s">
        <v>765</v>
      </c>
      <c r="B1392">
        <f>VLOOKUP(B1389,Tabelle3!$A$2:$E$33,4,FALSE)</f>
        <v>0</v>
      </c>
      <c r="D1392" t="str">
        <f t="shared" ref="D1392:D1455" si="1130">IF(ISNUMBER(B1392),(A1392&amp;B1392),"")</f>
        <v xml:space="preserve">    "damageModifier": 0</v>
      </c>
    </row>
    <row r="1393" spans="1:4" x14ac:dyDescent="0.55000000000000004">
      <c r="A1393" t="s">
        <v>6</v>
      </c>
      <c r="D1393" t="str">
        <f t="shared" ref="D1393:D1456" si="1131">A1393</f>
        <v xml:space="preserve">  },</v>
      </c>
    </row>
    <row r="1394" spans="1:4" x14ac:dyDescent="0.55000000000000004">
      <c r="A1394" t="s">
        <v>237</v>
      </c>
      <c r="D1394" t="str">
        <f t="shared" si="1131"/>
        <v xml:space="preserve">  "20-6": {</v>
      </c>
    </row>
    <row r="1395" spans="1:4" x14ac:dyDescent="0.55000000000000004">
      <c r="A1395" t="s">
        <v>238</v>
      </c>
      <c r="B1395">
        <f t="shared" ref="B1395" si="1132">_xlfn.NUMBERVALUE(RIGHT(A1395,2))</f>
        <v>29</v>
      </c>
      <c r="D1395" t="str">
        <f t="shared" ref="D1395:D1458" si="1133">A1395&amp;","</f>
        <v xml:space="preserve">    "resultPage": 29,</v>
      </c>
    </row>
    <row r="1396" spans="1:4" x14ac:dyDescent="0.55000000000000004">
      <c r="A1396" t="s">
        <v>763</v>
      </c>
      <c r="B1396" t="str">
        <f>VLOOKUP(B1395,Tabelle3!$A$2:$E$33,3,FALSE)</f>
        <v>Ducking</v>
      </c>
      <c r="C1396" t="s">
        <v>762</v>
      </c>
      <c r="D1396" t="str">
        <f t="shared" ref="D1396" si="1134">_xlfn.CONCAT(A1396:C1396)</f>
        <v xml:space="preserve">    "message":  "Ducking",</v>
      </c>
    </row>
    <row r="1397" spans="1:4" x14ac:dyDescent="0.55000000000000004">
      <c r="A1397" t="s">
        <v>764</v>
      </c>
      <c r="B1397" t="str">
        <f>VLOOKUP(B1395,Tabelle3!$A$2:$E$33,5,FALSE)</f>
        <v>No Orange Add + 2 to any DownSwing Restore 1 Body Point</v>
      </c>
      <c r="C1397" t="s">
        <v>762</v>
      </c>
      <c r="D1397" t="str">
        <f t="shared" si="1089"/>
        <v xml:space="preserve">    "nextInstruction":  "No Orange Add + 2 to any DownSwing Restore 1 Body Point",</v>
      </c>
    </row>
    <row r="1398" spans="1:4" x14ac:dyDescent="0.55000000000000004">
      <c r="A1398" t="s">
        <v>765</v>
      </c>
      <c r="B1398" t="str">
        <f>VLOOKUP(B1395,Tabelle3!$A$2:$E$33,4,FALSE)</f>
        <v>""</v>
      </c>
      <c r="D1398" t="str">
        <f t="shared" ref="D1398:D1461" si="1135">IF(ISNUMBER(B1398),(A1398&amp;B1398),"")</f>
        <v/>
      </c>
    </row>
    <row r="1399" spans="1:4" x14ac:dyDescent="0.55000000000000004">
      <c r="A1399" t="s">
        <v>6</v>
      </c>
      <c r="D1399" t="str">
        <f t="shared" ref="D1399:D1462" si="1136">A1399</f>
        <v xml:space="preserve">  },</v>
      </c>
    </row>
    <row r="1400" spans="1:4" x14ac:dyDescent="0.55000000000000004">
      <c r="A1400" t="s">
        <v>239</v>
      </c>
      <c r="D1400" t="str">
        <f t="shared" si="1136"/>
        <v xml:space="preserve">  "20-8": {</v>
      </c>
    </row>
    <row r="1401" spans="1:4" x14ac:dyDescent="0.55000000000000004">
      <c r="A1401" t="s">
        <v>238</v>
      </c>
      <c r="B1401">
        <f t="shared" ref="B1401" si="1137">_xlfn.NUMBERVALUE(RIGHT(A1401,2))</f>
        <v>29</v>
      </c>
      <c r="D1401" t="str">
        <f t="shared" ref="D1401:D1464" si="1138">A1401&amp;","</f>
        <v xml:space="preserve">    "resultPage": 29,</v>
      </c>
    </row>
    <row r="1402" spans="1:4" x14ac:dyDescent="0.55000000000000004">
      <c r="A1402" t="s">
        <v>763</v>
      </c>
      <c r="B1402" t="str">
        <f>VLOOKUP(B1401,Tabelle3!$A$2:$E$33,3,FALSE)</f>
        <v>Ducking</v>
      </c>
      <c r="C1402" t="s">
        <v>762</v>
      </c>
      <c r="D1402" t="str">
        <f t="shared" ref="D1402" si="1139">_xlfn.CONCAT(A1402:C1402)</f>
        <v xml:space="preserve">    "message":  "Ducking",</v>
      </c>
    </row>
    <row r="1403" spans="1:4" x14ac:dyDescent="0.55000000000000004">
      <c r="A1403" t="s">
        <v>764</v>
      </c>
      <c r="B1403" t="str">
        <f>VLOOKUP(B1401,Tabelle3!$A$2:$E$33,5,FALSE)</f>
        <v>No Orange Add + 2 to any DownSwing Restore 1 Body Point</v>
      </c>
      <c r="C1403" t="s">
        <v>762</v>
      </c>
      <c r="D1403" t="str">
        <f t="shared" si="1089"/>
        <v xml:space="preserve">    "nextInstruction":  "No Orange Add + 2 to any DownSwing Restore 1 Body Point",</v>
      </c>
    </row>
    <row r="1404" spans="1:4" x14ac:dyDescent="0.55000000000000004">
      <c r="A1404" t="s">
        <v>765</v>
      </c>
      <c r="B1404" t="str">
        <f>VLOOKUP(B1401,Tabelle3!$A$2:$E$33,4,FALSE)</f>
        <v>""</v>
      </c>
      <c r="D1404" t="str">
        <f t="shared" ref="D1404:D1467" si="1140">IF(ISNUMBER(B1404),(A1404&amp;B1404),"")</f>
        <v/>
      </c>
    </row>
    <row r="1405" spans="1:4" x14ac:dyDescent="0.55000000000000004">
      <c r="A1405" t="s">
        <v>6</v>
      </c>
      <c r="D1405" t="str">
        <f t="shared" ref="D1405:D1468" si="1141">A1405</f>
        <v xml:space="preserve">  },</v>
      </c>
    </row>
    <row r="1406" spans="1:4" x14ac:dyDescent="0.55000000000000004">
      <c r="A1406" t="s">
        <v>240</v>
      </c>
      <c r="D1406" t="str">
        <f t="shared" si="1141"/>
        <v xml:space="preserve">  "20-10": {</v>
      </c>
    </row>
    <row r="1407" spans="1:4" x14ac:dyDescent="0.55000000000000004">
      <c r="A1407" t="s">
        <v>96</v>
      </c>
      <c r="B1407">
        <f t="shared" ref="B1407" si="1142">_xlfn.NUMBERVALUE(RIGHT(A1407,2))</f>
        <v>23</v>
      </c>
      <c r="D1407" t="str">
        <f t="shared" ref="D1407:D1470" si="1143">A1407&amp;","</f>
        <v xml:space="preserve">    "resultPage": 23,</v>
      </c>
    </row>
    <row r="1408" spans="1:4" x14ac:dyDescent="0.55000000000000004">
      <c r="A1408" t="s">
        <v>763</v>
      </c>
      <c r="B1408" t="str">
        <f>VLOOKUP(B1407,Tabelle3!$A$2:$E$33,3,FALSE)</f>
        <v>Behind You</v>
      </c>
      <c r="C1408" t="s">
        <v>762</v>
      </c>
      <c r="D1408" t="str">
        <f t="shared" ref="D1408:D1469" si="1144">_xlfn.CONCAT(A1408:C1408)</f>
        <v xml:space="preserve">    "message":  "Behind You",</v>
      </c>
    </row>
    <row r="1409" spans="1:4" x14ac:dyDescent="0.55000000000000004">
      <c r="A1409" t="s">
        <v>764</v>
      </c>
      <c r="B1409" t="str">
        <f>VLOOKUP(B1407,Tabelle3!$A$2:$E$33,5,FALSE)</f>
        <v/>
      </c>
      <c r="C1409" t="s">
        <v>762</v>
      </c>
      <c r="D1409" t="str">
        <f t="shared" si="1144"/>
        <v xml:space="preserve">    "nextInstruction":  "",</v>
      </c>
    </row>
    <row r="1410" spans="1:4" x14ac:dyDescent="0.55000000000000004">
      <c r="A1410" t="s">
        <v>765</v>
      </c>
      <c r="B1410" t="str">
        <f>VLOOKUP(B1407,Tabelle3!$A$2:$E$33,4,FALSE)</f>
        <v>""</v>
      </c>
      <c r="D1410" t="str">
        <f t="shared" ref="D1410:D1473" si="1145">IF(ISNUMBER(B1410),(A1410&amp;B1410),"")</f>
        <v/>
      </c>
    </row>
    <row r="1411" spans="1:4" x14ac:dyDescent="0.55000000000000004">
      <c r="A1411" t="s">
        <v>6</v>
      </c>
      <c r="D1411" t="str">
        <f t="shared" ref="D1411:D1474" si="1146">A1411</f>
        <v xml:space="preserve">  },</v>
      </c>
    </row>
    <row r="1412" spans="1:4" x14ac:dyDescent="0.55000000000000004">
      <c r="A1412" t="s">
        <v>241</v>
      </c>
      <c r="D1412" t="str">
        <f t="shared" si="1146"/>
        <v xml:space="preserve">  "20-12": {</v>
      </c>
    </row>
    <row r="1413" spans="1:4" x14ac:dyDescent="0.55000000000000004">
      <c r="A1413" t="s">
        <v>238</v>
      </c>
      <c r="B1413">
        <f t="shared" ref="B1413" si="1147">_xlfn.NUMBERVALUE(RIGHT(A1413,2))</f>
        <v>29</v>
      </c>
      <c r="D1413" t="str">
        <f t="shared" ref="D1413:D1476" si="1148">A1413&amp;","</f>
        <v xml:space="preserve">    "resultPage": 29,</v>
      </c>
    </row>
    <row r="1414" spans="1:4" x14ac:dyDescent="0.55000000000000004">
      <c r="A1414" t="s">
        <v>763</v>
      </c>
      <c r="B1414" t="str">
        <f>VLOOKUP(B1413,Tabelle3!$A$2:$E$33,3,FALSE)</f>
        <v>Ducking</v>
      </c>
      <c r="C1414" t="s">
        <v>762</v>
      </c>
      <c r="D1414" t="str">
        <f t="shared" ref="D1414" si="1149">_xlfn.CONCAT(A1414:C1414)</f>
        <v xml:space="preserve">    "message":  "Ducking",</v>
      </c>
    </row>
    <row r="1415" spans="1:4" x14ac:dyDescent="0.55000000000000004">
      <c r="A1415" t="s">
        <v>764</v>
      </c>
      <c r="B1415" t="str">
        <f>VLOOKUP(B1413,Tabelle3!$A$2:$E$33,5,FALSE)</f>
        <v>No Orange Add + 2 to any DownSwing Restore 1 Body Point</v>
      </c>
      <c r="C1415" t="s">
        <v>762</v>
      </c>
      <c r="D1415" t="str">
        <f t="shared" si="1144"/>
        <v xml:space="preserve">    "nextInstruction":  "No Orange Add + 2 to any DownSwing Restore 1 Body Point",</v>
      </c>
    </row>
    <row r="1416" spans="1:4" x14ac:dyDescent="0.55000000000000004">
      <c r="A1416" t="s">
        <v>765</v>
      </c>
      <c r="B1416" t="str">
        <f>VLOOKUP(B1413,Tabelle3!$A$2:$E$33,4,FALSE)</f>
        <v>""</v>
      </c>
      <c r="D1416" t="str">
        <f t="shared" ref="D1416:D1479" si="1150">IF(ISNUMBER(B1416),(A1416&amp;B1416),"")</f>
        <v/>
      </c>
    </row>
    <row r="1417" spans="1:4" x14ac:dyDescent="0.55000000000000004">
      <c r="A1417" t="s">
        <v>6</v>
      </c>
      <c r="D1417" t="str">
        <f t="shared" ref="D1417:D1480" si="1151">A1417</f>
        <v xml:space="preserve">  },</v>
      </c>
    </row>
    <row r="1418" spans="1:4" x14ac:dyDescent="0.55000000000000004">
      <c r="A1418" t="s">
        <v>242</v>
      </c>
      <c r="D1418" t="str">
        <f t="shared" si="1151"/>
        <v xml:space="preserve">  "20-14": {</v>
      </c>
    </row>
    <row r="1419" spans="1:4" x14ac:dyDescent="0.55000000000000004">
      <c r="A1419" t="s">
        <v>238</v>
      </c>
      <c r="B1419">
        <f t="shared" ref="B1419" si="1152">_xlfn.NUMBERVALUE(RIGHT(A1419,2))</f>
        <v>29</v>
      </c>
      <c r="D1419" t="str">
        <f t="shared" ref="D1419:D1482" si="1153">A1419&amp;","</f>
        <v xml:space="preserve">    "resultPage": 29,</v>
      </c>
    </row>
    <row r="1420" spans="1:4" x14ac:dyDescent="0.55000000000000004">
      <c r="A1420" t="s">
        <v>763</v>
      </c>
      <c r="B1420" t="str">
        <f>VLOOKUP(B1419,Tabelle3!$A$2:$E$33,3,FALSE)</f>
        <v>Ducking</v>
      </c>
      <c r="C1420" t="s">
        <v>762</v>
      </c>
      <c r="D1420" t="str">
        <f t="shared" ref="D1420" si="1154">_xlfn.CONCAT(A1420:C1420)</f>
        <v xml:space="preserve">    "message":  "Ducking",</v>
      </c>
    </row>
    <row r="1421" spans="1:4" x14ac:dyDescent="0.55000000000000004">
      <c r="A1421" t="s">
        <v>764</v>
      </c>
      <c r="B1421" t="str">
        <f>VLOOKUP(B1419,Tabelle3!$A$2:$E$33,5,FALSE)</f>
        <v>No Orange Add + 2 to any DownSwing Restore 1 Body Point</v>
      </c>
      <c r="C1421" t="s">
        <v>762</v>
      </c>
      <c r="D1421" t="str">
        <f t="shared" si="1144"/>
        <v xml:space="preserve">    "nextInstruction":  "No Orange Add + 2 to any DownSwing Restore 1 Body Point",</v>
      </c>
    </row>
    <row r="1422" spans="1:4" x14ac:dyDescent="0.55000000000000004">
      <c r="A1422" t="s">
        <v>765</v>
      </c>
      <c r="B1422" t="str">
        <f>VLOOKUP(B1419,Tabelle3!$A$2:$E$33,4,FALSE)</f>
        <v>""</v>
      </c>
      <c r="D1422" t="str">
        <f t="shared" ref="D1422:D1485" si="1155">IF(ISNUMBER(B1422),(A1422&amp;B1422),"")</f>
        <v/>
      </c>
    </row>
    <row r="1423" spans="1:4" x14ac:dyDescent="0.55000000000000004">
      <c r="A1423" t="s">
        <v>6</v>
      </c>
      <c r="D1423" t="str">
        <f t="shared" ref="D1423:D1486" si="1156">A1423</f>
        <v xml:space="preserve">  },</v>
      </c>
    </row>
    <row r="1424" spans="1:4" x14ac:dyDescent="0.55000000000000004">
      <c r="A1424" t="s">
        <v>243</v>
      </c>
      <c r="D1424" t="str">
        <f t="shared" si="1156"/>
        <v xml:space="preserve">  "20-16": {</v>
      </c>
    </row>
    <row r="1425" spans="1:4" x14ac:dyDescent="0.55000000000000004">
      <c r="A1425" t="s">
        <v>98</v>
      </c>
      <c r="B1425">
        <f t="shared" ref="B1425" si="1157">_xlfn.NUMBERVALUE(RIGHT(A1425,2))</f>
        <v>61</v>
      </c>
      <c r="D1425" t="str">
        <f t="shared" ref="D1425:D1488" si="1158">A1425&amp;","</f>
        <v xml:space="preserve">    "resultPage": 61,</v>
      </c>
    </row>
    <row r="1426" spans="1:4" x14ac:dyDescent="0.55000000000000004">
      <c r="A1426" t="s">
        <v>763</v>
      </c>
      <c r="B1426" t="str">
        <f>VLOOKUP(B1425,Tabelle3!$A$2:$E$33,3,FALSE)</f>
        <v>Extended Range Dodging</v>
      </c>
      <c r="C1426" t="s">
        <v>762</v>
      </c>
      <c r="D1426" t="str">
        <f t="shared" ref="D1426" si="1159">_xlfn.CONCAT(A1426:C1426)</f>
        <v xml:space="preserve">    "message":  "Extended Range Dodging",</v>
      </c>
    </row>
    <row r="1427" spans="1:4" x14ac:dyDescent="0.55000000000000004">
      <c r="A1427" t="s">
        <v>764</v>
      </c>
      <c r="B1427" t="str">
        <f>VLOOKUP(B1425,Tabelle3!$A$2:$E$33,5,FALSE)</f>
        <v>Only Extended Range</v>
      </c>
      <c r="C1427" t="s">
        <v>762</v>
      </c>
      <c r="D1427" t="str">
        <f t="shared" si="1144"/>
        <v xml:space="preserve">    "nextInstruction":  "Only Extended Range",</v>
      </c>
    </row>
    <row r="1428" spans="1:4" x14ac:dyDescent="0.55000000000000004">
      <c r="A1428" t="s">
        <v>765</v>
      </c>
      <c r="B1428" t="str">
        <f>VLOOKUP(B1425,Tabelle3!$A$2:$E$33,4,FALSE)</f>
        <v>""</v>
      </c>
      <c r="D1428" t="str">
        <f t="shared" ref="D1428:D1491" si="1160">IF(ISNUMBER(B1428),(A1428&amp;B1428),"")</f>
        <v/>
      </c>
    </row>
    <row r="1429" spans="1:4" x14ac:dyDescent="0.55000000000000004">
      <c r="A1429" t="s">
        <v>6</v>
      </c>
      <c r="D1429" t="str">
        <f t="shared" ref="D1429:D1492" si="1161">A1429</f>
        <v xml:space="preserve">  },</v>
      </c>
    </row>
    <row r="1430" spans="1:4" x14ac:dyDescent="0.55000000000000004">
      <c r="A1430" t="s">
        <v>244</v>
      </c>
      <c r="D1430" t="str">
        <f t="shared" si="1161"/>
        <v xml:space="preserve">  "20-18": {</v>
      </c>
    </row>
    <row r="1431" spans="1:4" x14ac:dyDescent="0.55000000000000004">
      <c r="A1431" t="s">
        <v>238</v>
      </c>
      <c r="B1431">
        <f t="shared" ref="B1431" si="1162">_xlfn.NUMBERVALUE(RIGHT(A1431,2))</f>
        <v>29</v>
      </c>
      <c r="D1431" t="str">
        <f t="shared" ref="D1431:D1494" si="1163">A1431&amp;","</f>
        <v xml:space="preserve">    "resultPage": 29,</v>
      </c>
    </row>
    <row r="1432" spans="1:4" x14ac:dyDescent="0.55000000000000004">
      <c r="A1432" t="s">
        <v>763</v>
      </c>
      <c r="B1432" t="str">
        <f>VLOOKUP(B1431,Tabelle3!$A$2:$E$33,3,FALSE)</f>
        <v>Ducking</v>
      </c>
      <c r="C1432" t="s">
        <v>762</v>
      </c>
      <c r="D1432" t="str">
        <f t="shared" ref="D1432" si="1164">_xlfn.CONCAT(A1432:C1432)</f>
        <v xml:space="preserve">    "message":  "Ducking",</v>
      </c>
    </row>
    <row r="1433" spans="1:4" x14ac:dyDescent="0.55000000000000004">
      <c r="A1433" t="s">
        <v>764</v>
      </c>
      <c r="B1433" t="str">
        <f>VLOOKUP(B1431,Tabelle3!$A$2:$E$33,5,FALSE)</f>
        <v>No Orange Add + 2 to any DownSwing Restore 1 Body Point</v>
      </c>
      <c r="C1433" t="s">
        <v>762</v>
      </c>
      <c r="D1433" t="str">
        <f t="shared" si="1144"/>
        <v xml:space="preserve">    "nextInstruction":  "No Orange Add + 2 to any DownSwing Restore 1 Body Point",</v>
      </c>
    </row>
    <row r="1434" spans="1:4" x14ac:dyDescent="0.55000000000000004">
      <c r="A1434" t="s">
        <v>765</v>
      </c>
      <c r="B1434" t="str">
        <f>VLOOKUP(B1431,Tabelle3!$A$2:$E$33,4,FALSE)</f>
        <v>""</v>
      </c>
      <c r="D1434" t="str">
        <f t="shared" ref="D1434:D1497" si="1165">IF(ISNUMBER(B1434),(A1434&amp;B1434),"")</f>
        <v/>
      </c>
    </row>
    <row r="1435" spans="1:4" x14ac:dyDescent="0.55000000000000004">
      <c r="A1435" t="s">
        <v>6</v>
      </c>
      <c r="D1435" t="str">
        <f t="shared" ref="D1435:D1498" si="1166">A1435</f>
        <v xml:space="preserve">  },</v>
      </c>
    </row>
    <row r="1436" spans="1:4" x14ac:dyDescent="0.55000000000000004">
      <c r="A1436" t="s">
        <v>245</v>
      </c>
      <c r="D1436" t="str">
        <f t="shared" si="1166"/>
        <v xml:space="preserve">  "20-20": {</v>
      </c>
    </row>
    <row r="1437" spans="1:4" x14ac:dyDescent="0.55000000000000004">
      <c r="A1437" t="s">
        <v>238</v>
      </c>
      <c r="B1437">
        <f t="shared" ref="B1437" si="1167">_xlfn.NUMBERVALUE(RIGHT(A1437,2))</f>
        <v>29</v>
      </c>
      <c r="D1437" t="str">
        <f t="shared" ref="D1437:D1500" si="1168">A1437&amp;","</f>
        <v xml:space="preserve">    "resultPage": 29,</v>
      </c>
    </row>
    <row r="1438" spans="1:4" x14ac:dyDescent="0.55000000000000004">
      <c r="A1438" t="s">
        <v>763</v>
      </c>
      <c r="B1438" t="str">
        <f>VLOOKUP(B1437,Tabelle3!$A$2:$E$33,3,FALSE)</f>
        <v>Ducking</v>
      </c>
      <c r="C1438" t="s">
        <v>762</v>
      </c>
      <c r="D1438" t="str">
        <f t="shared" ref="D1438" si="1169">_xlfn.CONCAT(A1438:C1438)</f>
        <v xml:space="preserve">    "message":  "Ducking",</v>
      </c>
    </row>
    <row r="1439" spans="1:4" x14ac:dyDescent="0.55000000000000004">
      <c r="A1439" t="s">
        <v>764</v>
      </c>
      <c r="B1439" t="str">
        <f>VLOOKUP(B1437,Tabelle3!$A$2:$E$33,5,FALSE)</f>
        <v>No Orange Add + 2 to any DownSwing Restore 1 Body Point</v>
      </c>
      <c r="C1439" t="s">
        <v>762</v>
      </c>
      <c r="D1439" t="str">
        <f t="shared" si="1144"/>
        <v xml:space="preserve">    "nextInstruction":  "No Orange Add + 2 to any DownSwing Restore 1 Body Point",</v>
      </c>
    </row>
    <row r="1440" spans="1:4" x14ac:dyDescent="0.55000000000000004">
      <c r="A1440" t="s">
        <v>765</v>
      </c>
      <c r="B1440" t="str">
        <f>VLOOKUP(B1437,Tabelle3!$A$2:$E$33,4,FALSE)</f>
        <v>""</v>
      </c>
      <c r="D1440" t="str">
        <f t="shared" ref="D1440:D1503" si="1170">IF(ISNUMBER(B1440),(A1440&amp;B1440),"")</f>
        <v/>
      </c>
    </row>
    <row r="1441" spans="1:4" x14ac:dyDescent="0.55000000000000004">
      <c r="A1441" t="s">
        <v>6</v>
      </c>
      <c r="D1441" t="str">
        <f t="shared" ref="D1441:D1504" si="1171">A1441</f>
        <v xml:space="preserve">  },</v>
      </c>
    </row>
    <row r="1442" spans="1:4" x14ac:dyDescent="0.55000000000000004">
      <c r="A1442" t="s">
        <v>246</v>
      </c>
      <c r="D1442" t="str">
        <f t="shared" si="1171"/>
        <v xml:space="preserve">  "20-22": {</v>
      </c>
    </row>
    <row r="1443" spans="1:4" x14ac:dyDescent="0.55000000000000004">
      <c r="A1443" t="s">
        <v>20</v>
      </c>
      <c r="B1443">
        <f t="shared" ref="B1443" si="1172">_xlfn.NUMBERVALUE(RIGHT(A1443,2))</f>
        <v>53</v>
      </c>
      <c r="D1443" t="str">
        <f t="shared" ref="D1443:D1506" si="1173">A1443&amp;","</f>
        <v xml:space="preserve">    "resultPage": 53,</v>
      </c>
    </row>
    <row r="1444" spans="1:4" x14ac:dyDescent="0.55000000000000004">
      <c r="A1444" t="s">
        <v>763</v>
      </c>
      <c r="B1444" t="str">
        <f>VLOOKUP(B1443,Tabelle3!$A$2:$E$33,3,FALSE)</f>
        <v>Body Wound</v>
      </c>
      <c r="C1444" t="s">
        <v>762</v>
      </c>
      <c r="D1444" t="str">
        <f t="shared" ref="D1444" si="1174">_xlfn.CONCAT(A1444:C1444)</f>
        <v xml:space="preserve">    "message":  "Body Wound",</v>
      </c>
    </row>
    <row r="1445" spans="1:4" x14ac:dyDescent="0.55000000000000004">
      <c r="A1445" t="s">
        <v>764</v>
      </c>
      <c r="B1445" t="str">
        <f>VLOOKUP(B1443,Tabelle3!$A$2:$E$33,5,FALSE)</f>
        <v>No Red No Orange</v>
      </c>
      <c r="C1445" t="s">
        <v>762</v>
      </c>
      <c r="D1445" t="str">
        <f t="shared" si="1144"/>
        <v xml:space="preserve">    "nextInstruction":  "No Red No Orange",</v>
      </c>
    </row>
    <row r="1446" spans="1:4" x14ac:dyDescent="0.55000000000000004">
      <c r="A1446" t="s">
        <v>765</v>
      </c>
      <c r="B1446">
        <f>VLOOKUP(B1443,Tabelle3!$A$2:$E$33,4,FALSE)</f>
        <v>5</v>
      </c>
      <c r="D1446" t="str">
        <f t="shared" ref="D1446:D1509" si="1175">IF(ISNUMBER(B1446),(A1446&amp;B1446),"")</f>
        <v xml:space="preserve">    "damageModifier": 5</v>
      </c>
    </row>
    <row r="1447" spans="1:4" x14ac:dyDescent="0.55000000000000004">
      <c r="A1447" t="s">
        <v>6</v>
      </c>
      <c r="D1447" t="str">
        <f t="shared" ref="D1447:D1510" si="1176">A1447</f>
        <v xml:space="preserve">  },</v>
      </c>
    </row>
    <row r="1448" spans="1:4" x14ac:dyDescent="0.55000000000000004">
      <c r="A1448" t="s">
        <v>247</v>
      </c>
      <c r="D1448" t="str">
        <f t="shared" si="1176"/>
        <v xml:space="preserve">  "20-24": {</v>
      </c>
    </row>
    <row r="1449" spans="1:4" x14ac:dyDescent="0.55000000000000004">
      <c r="A1449" t="s">
        <v>23</v>
      </c>
      <c r="B1449">
        <f t="shared" ref="B1449" si="1177">_xlfn.NUMBERVALUE(RIGHT(A1449,2))</f>
        <v>7</v>
      </c>
      <c r="D1449" t="str">
        <f t="shared" ref="D1449:D1512" si="1178">A1449&amp;","</f>
        <v xml:space="preserve">    "resultPage": 7,</v>
      </c>
    </row>
    <row r="1450" spans="1:4" x14ac:dyDescent="0.55000000000000004">
      <c r="A1450" t="s">
        <v>763</v>
      </c>
      <c r="B1450" t="str">
        <f>VLOOKUP(B1449,Tabelle3!$A$2:$E$33,3,FALSE)</f>
        <v>Dazed</v>
      </c>
      <c r="C1450" t="s">
        <v>762</v>
      </c>
      <c r="D1450" t="str">
        <f t="shared" ref="D1450" si="1179">_xlfn.CONCAT(A1450:C1450)</f>
        <v xml:space="preserve">    "message":  "Dazed",</v>
      </c>
    </row>
    <row r="1451" spans="1:4" x14ac:dyDescent="0.55000000000000004">
      <c r="A1451" t="s">
        <v>764</v>
      </c>
      <c r="B1451" t="str">
        <f>VLOOKUP(B1449,Tabelle3!$A$2:$E$33,5,FALSE)</f>
        <v>Only Green Only Yellow</v>
      </c>
      <c r="C1451" t="s">
        <v>762</v>
      </c>
      <c r="D1451" t="str">
        <f t="shared" si="1144"/>
        <v xml:space="preserve">    "nextInstruction":  "Only Green Only Yellow",</v>
      </c>
    </row>
    <row r="1452" spans="1:4" x14ac:dyDescent="0.55000000000000004">
      <c r="A1452" t="s">
        <v>765</v>
      </c>
      <c r="B1452">
        <f>VLOOKUP(B1449,Tabelle3!$A$2:$E$33,4,FALSE)</f>
        <v>7</v>
      </c>
      <c r="D1452" t="str">
        <f t="shared" ref="D1452:D1515" si="1180">IF(ISNUMBER(B1452),(A1452&amp;B1452),"")</f>
        <v xml:space="preserve">    "damageModifier": 7</v>
      </c>
    </row>
    <row r="1453" spans="1:4" x14ac:dyDescent="0.55000000000000004">
      <c r="A1453" t="s">
        <v>6</v>
      </c>
      <c r="D1453" t="str">
        <f t="shared" ref="D1453:D1516" si="1181">A1453</f>
        <v xml:space="preserve">  },</v>
      </c>
    </row>
    <row r="1454" spans="1:4" x14ac:dyDescent="0.55000000000000004">
      <c r="A1454" t="s">
        <v>248</v>
      </c>
      <c r="D1454" t="str">
        <f t="shared" si="1181"/>
        <v xml:space="preserve">  "20-26": {</v>
      </c>
    </row>
    <row r="1455" spans="1:4" x14ac:dyDescent="0.55000000000000004">
      <c r="A1455" t="s">
        <v>238</v>
      </c>
      <c r="B1455">
        <f t="shared" ref="B1455" si="1182">_xlfn.NUMBERVALUE(RIGHT(A1455,2))</f>
        <v>29</v>
      </c>
      <c r="D1455" t="str">
        <f t="shared" ref="D1455:D1518" si="1183">A1455&amp;","</f>
        <v xml:space="preserve">    "resultPage": 29,</v>
      </c>
    </row>
    <row r="1456" spans="1:4" x14ac:dyDescent="0.55000000000000004">
      <c r="A1456" t="s">
        <v>763</v>
      </c>
      <c r="B1456" t="str">
        <f>VLOOKUP(B1455,Tabelle3!$A$2:$E$33,3,FALSE)</f>
        <v>Ducking</v>
      </c>
      <c r="C1456" t="s">
        <v>762</v>
      </c>
      <c r="D1456" t="str">
        <f t="shared" ref="D1456" si="1184">_xlfn.CONCAT(A1456:C1456)</f>
        <v xml:space="preserve">    "message":  "Ducking",</v>
      </c>
    </row>
    <row r="1457" spans="1:4" x14ac:dyDescent="0.55000000000000004">
      <c r="A1457" t="s">
        <v>764</v>
      </c>
      <c r="B1457" t="str">
        <f>VLOOKUP(B1455,Tabelle3!$A$2:$E$33,5,FALSE)</f>
        <v>No Orange Add + 2 to any DownSwing Restore 1 Body Point</v>
      </c>
      <c r="C1457" t="s">
        <v>762</v>
      </c>
      <c r="D1457" t="str">
        <f t="shared" si="1144"/>
        <v xml:space="preserve">    "nextInstruction":  "No Orange Add + 2 to any DownSwing Restore 1 Body Point",</v>
      </c>
    </row>
    <row r="1458" spans="1:4" x14ac:dyDescent="0.55000000000000004">
      <c r="A1458" t="s">
        <v>765</v>
      </c>
      <c r="B1458" t="str">
        <f>VLOOKUP(B1455,Tabelle3!$A$2:$E$33,4,FALSE)</f>
        <v>""</v>
      </c>
      <c r="D1458" t="str">
        <f t="shared" ref="D1458:D1521" si="1185">IF(ISNUMBER(B1458),(A1458&amp;B1458),"")</f>
        <v/>
      </c>
    </row>
    <row r="1459" spans="1:4" x14ac:dyDescent="0.55000000000000004">
      <c r="A1459" t="s">
        <v>6</v>
      </c>
      <c r="D1459" t="str">
        <f t="shared" ref="D1459:D1522" si="1186">A1459</f>
        <v xml:space="preserve">  },</v>
      </c>
    </row>
    <row r="1460" spans="1:4" x14ac:dyDescent="0.55000000000000004">
      <c r="A1460" t="s">
        <v>249</v>
      </c>
      <c r="D1460" t="str">
        <f t="shared" si="1186"/>
        <v xml:space="preserve">  "20-28": {</v>
      </c>
    </row>
    <row r="1461" spans="1:4" x14ac:dyDescent="0.55000000000000004">
      <c r="A1461" t="s">
        <v>96</v>
      </c>
      <c r="B1461">
        <f t="shared" ref="B1461" si="1187">_xlfn.NUMBERVALUE(RIGHT(A1461,2))</f>
        <v>23</v>
      </c>
      <c r="D1461" t="str">
        <f t="shared" ref="D1461:D1524" si="1188">A1461&amp;","</f>
        <v xml:space="preserve">    "resultPage": 23,</v>
      </c>
    </row>
    <row r="1462" spans="1:4" x14ac:dyDescent="0.55000000000000004">
      <c r="A1462" t="s">
        <v>763</v>
      </c>
      <c r="B1462" t="str">
        <f>VLOOKUP(B1461,Tabelle3!$A$2:$E$33,3,FALSE)</f>
        <v>Behind You</v>
      </c>
      <c r="C1462" t="s">
        <v>762</v>
      </c>
      <c r="D1462" t="str">
        <f t="shared" ref="D1462" si="1189">_xlfn.CONCAT(A1462:C1462)</f>
        <v xml:space="preserve">    "message":  "Behind You",</v>
      </c>
    </row>
    <row r="1463" spans="1:4" x14ac:dyDescent="0.55000000000000004">
      <c r="A1463" t="s">
        <v>764</v>
      </c>
      <c r="B1463" t="str">
        <f>VLOOKUP(B1461,Tabelle3!$A$2:$E$33,5,FALSE)</f>
        <v/>
      </c>
      <c r="C1463" t="s">
        <v>762</v>
      </c>
      <c r="D1463" t="str">
        <f t="shared" si="1144"/>
        <v xml:space="preserve">    "nextInstruction":  "",</v>
      </c>
    </row>
    <row r="1464" spans="1:4" x14ac:dyDescent="0.55000000000000004">
      <c r="A1464" t="s">
        <v>765</v>
      </c>
      <c r="B1464" t="str">
        <f>VLOOKUP(B1461,Tabelle3!$A$2:$E$33,4,FALSE)</f>
        <v>""</v>
      </c>
      <c r="D1464" t="str">
        <f t="shared" ref="D1464:D1527" si="1190">IF(ISNUMBER(B1464),(A1464&amp;B1464),"")</f>
        <v/>
      </c>
    </row>
    <row r="1465" spans="1:4" x14ac:dyDescent="0.55000000000000004">
      <c r="A1465" t="s">
        <v>6</v>
      </c>
      <c r="D1465" t="str">
        <f t="shared" ref="D1465:D1528" si="1191">A1465</f>
        <v xml:space="preserve">  },</v>
      </c>
    </row>
    <row r="1466" spans="1:4" x14ac:dyDescent="0.55000000000000004">
      <c r="A1466" t="s">
        <v>250</v>
      </c>
      <c r="D1466" t="str">
        <f t="shared" si="1191"/>
        <v xml:space="preserve">  "20-30": {</v>
      </c>
    </row>
    <row r="1467" spans="1:4" x14ac:dyDescent="0.55000000000000004">
      <c r="A1467" t="s">
        <v>238</v>
      </c>
      <c r="B1467">
        <f t="shared" ref="B1467" si="1192">_xlfn.NUMBERVALUE(RIGHT(A1467,2))</f>
        <v>29</v>
      </c>
      <c r="D1467" t="str">
        <f t="shared" ref="D1467:D1530" si="1193">A1467&amp;","</f>
        <v xml:space="preserve">    "resultPage": 29,</v>
      </c>
    </row>
    <row r="1468" spans="1:4" x14ac:dyDescent="0.55000000000000004">
      <c r="A1468" t="s">
        <v>763</v>
      </c>
      <c r="B1468" t="str">
        <f>VLOOKUP(B1467,Tabelle3!$A$2:$E$33,3,FALSE)</f>
        <v>Ducking</v>
      </c>
      <c r="C1468" t="s">
        <v>762</v>
      </c>
      <c r="D1468" t="str">
        <f t="shared" ref="D1468" si="1194">_xlfn.CONCAT(A1468:C1468)</f>
        <v xml:space="preserve">    "message":  "Ducking",</v>
      </c>
    </row>
    <row r="1469" spans="1:4" x14ac:dyDescent="0.55000000000000004">
      <c r="A1469" t="s">
        <v>764</v>
      </c>
      <c r="B1469" t="str">
        <f>VLOOKUP(B1467,Tabelle3!$A$2:$E$33,5,FALSE)</f>
        <v>No Orange Add + 2 to any DownSwing Restore 1 Body Point</v>
      </c>
      <c r="C1469" t="s">
        <v>762</v>
      </c>
      <c r="D1469" t="str">
        <f t="shared" si="1144"/>
        <v xml:space="preserve">    "nextInstruction":  "No Orange Add + 2 to any DownSwing Restore 1 Body Point",</v>
      </c>
    </row>
    <row r="1470" spans="1:4" x14ac:dyDescent="0.55000000000000004">
      <c r="A1470" t="s">
        <v>765</v>
      </c>
      <c r="B1470" t="str">
        <f>VLOOKUP(B1467,Tabelle3!$A$2:$E$33,4,FALSE)</f>
        <v>""</v>
      </c>
      <c r="D1470" t="str">
        <f t="shared" ref="D1470:D1533" si="1195">IF(ISNUMBER(B1470),(A1470&amp;B1470),"")</f>
        <v/>
      </c>
    </row>
    <row r="1471" spans="1:4" x14ac:dyDescent="0.55000000000000004">
      <c r="A1471" t="s">
        <v>6</v>
      </c>
      <c r="D1471" t="str">
        <f t="shared" ref="D1471:D1534" si="1196">A1471</f>
        <v xml:space="preserve">  },</v>
      </c>
    </row>
    <row r="1472" spans="1:4" x14ac:dyDescent="0.55000000000000004">
      <c r="A1472" t="s">
        <v>251</v>
      </c>
      <c r="D1472" t="str">
        <f t="shared" si="1196"/>
        <v xml:space="preserve">  "20-32": {</v>
      </c>
    </row>
    <row r="1473" spans="1:4" x14ac:dyDescent="0.55000000000000004">
      <c r="A1473" t="s">
        <v>238</v>
      </c>
      <c r="B1473">
        <f t="shared" ref="B1473" si="1197">_xlfn.NUMBERVALUE(RIGHT(A1473,2))</f>
        <v>29</v>
      </c>
      <c r="D1473" t="str">
        <f t="shared" ref="D1473:D1536" si="1198">A1473&amp;","</f>
        <v xml:space="preserve">    "resultPage": 29,</v>
      </c>
    </row>
    <row r="1474" spans="1:4" x14ac:dyDescent="0.55000000000000004">
      <c r="A1474" t="s">
        <v>763</v>
      </c>
      <c r="B1474" t="str">
        <f>VLOOKUP(B1473,Tabelle3!$A$2:$E$33,3,FALSE)</f>
        <v>Ducking</v>
      </c>
      <c r="C1474" t="s">
        <v>762</v>
      </c>
      <c r="D1474" t="str">
        <f t="shared" ref="D1474:D1535" si="1199">_xlfn.CONCAT(A1474:C1474)</f>
        <v xml:space="preserve">    "message":  "Ducking",</v>
      </c>
    </row>
    <row r="1475" spans="1:4" x14ac:dyDescent="0.55000000000000004">
      <c r="A1475" t="s">
        <v>764</v>
      </c>
      <c r="B1475" t="str">
        <f>VLOOKUP(B1473,Tabelle3!$A$2:$E$33,5,FALSE)</f>
        <v>No Orange Add + 2 to any DownSwing Restore 1 Body Point</v>
      </c>
      <c r="C1475" t="s">
        <v>762</v>
      </c>
      <c r="D1475" t="str">
        <f t="shared" si="1199"/>
        <v xml:space="preserve">    "nextInstruction":  "No Orange Add + 2 to any DownSwing Restore 1 Body Point",</v>
      </c>
    </row>
    <row r="1476" spans="1:4" x14ac:dyDescent="0.55000000000000004">
      <c r="A1476" t="s">
        <v>765</v>
      </c>
      <c r="B1476" t="str">
        <f>VLOOKUP(B1473,Tabelle3!$A$2:$E$33,4,FALSE)</f>
        <v>""</v>
      </c>
      <c r="D1476" t="str">
        <f t="shared" ref="D1476:D1539" si="1200">IF(ISNUMBER(B1476),(A1476&amp;B1476),"")</f>
        <v/>
      </c>
    </row>
    <row r="1477" spans="1:4" x14ac:dyDescent="0.55000000000000004">
      <c r="A1477" t="s">
        <v>6</v>
      </c>
      <c r="D1477" t="str">
        <f t="shared" ref="D1477:D1540" si="1201">A1477</f>
        <v xml:space="preserve">  },</v>
      </c>
    </row>
    <row r="1478" spans="1:4" x14ac:dyDescent="0.55000000000000004">
      <c r="A1478" t="s">
        <v>252</v>
      </c>
      <c r="D1478" t="str">
        <f t="shared" si="1201"/>
        <v xml:space="preserve">  "20-34": {</v>
      </c>
    </row>
    <row r="1479" spans="1:4" x14ac:dyDescent="0.55000000000000004">
      <c r="A1479" t="s">
        <v>47</v>
      </c>
      <c r="B1479">
        <f t="shared" ref="B1479" si="1202">_xlfn.NUMBERVALUE(RIGHT(A1479,2))</f>
        <v>41</v>
      </c>
      <c r="D1479" t="str">
        <f t="shared" ref="D1479:D1542" si="1203">A1479&amp;","</f>
        <v xml:space="preserve">    "resultPage": 41,</v>
      </c>
    </row>
    <row r="1480" spans="1:4" x14ac:dyDescent="0.55000000000000004">
      <c r="A1480" t="s">
        <v>763</v>
      </c>
      <c r="B1480" t="str">
        <f>VLOOKUP(B1479,Tabelle3!$A$2:$E$33,3,FALSE)</f>
        <v>Knocked Down</v>
      </c>
      <c r="C1480" t="s">
        <v>762</v>
      </c>
      <c r="D1480" t="str">
        <f t="shared" ref="D1480" si="1204">_xlfn.CONCAT(A1480:C1480)</f>
        <v xml:space="preserve">    "message":  "Knocked Down",</v>
      </c>
    </row>
    <row r="1481" spans="1:4" x14ac:dyDescent="0.55000000000000004">
      <c r="A1481" t="s">
        <v>764</v>
      </c>
      <c r="B1481" t="str">
        <f>VLOOKUP(B1479,Tabelle3!$A$2:$E$33,5,FALSE)</f>
        <v>Only Yellow No Orange</v>
      </c>
      <c r="C1481" t="s">
        <v>762</v>
      </c>
      <c r="D1481" t="str">
        <f t="shared" si="1199"/>
        <v xml:space="preserve">    "nextInstruction":  "Only Yellow No Orange",</v>
      </c>
    </row>
    <row r="1482" spans="1:4" x14ac:dyDescent="0.55000000000000004">
      <c r="A1482" t="s">
        <v>765</v>
      </c>
      <c r="B1482">
        <f>VLOOKUP(B1479,Tabelle3!$A$2:$E$33,4,FALSE)</f>
        <v>0</v>
      </c>
      <c r="D1482" t="str">
        <f t="shared" ref="D1482:D1545" si="1205">IF(ISNUMBER(B1482),(A1482&amp;B1482),"")</f>
        <v xml:space="preserve">    "damageModifier": 0</v>
      </c>
    </row>
    <row r="1483" spans="1:4" x14ac:dyDescent="0.55000000000000004">
      <c r="A1483" t="s">
        <v>6</v>
      </c>
      <c r="D1483" t="str">
        <f t="shared" ref="D1483:D1546" si="1206">A1483</f>
        <v xml:space="preserve">  },</v>
      </c>
    </row>
    <row r="1484" spans="1:4" x14ac:dyDescent="0.55000000000000004">
      <c r="A1484" t="s">
        <v>253</v>
      </c>
      <c r="D1484" t="str">
        <f t="shared" si="1206"/>
        <v xml:space="preserve">  "20-36": {</v>
      </c>
    </row>
    <row r="1485" spans="1:4" x14ac:dyDescent="0.55000000000000004">
      <c r="A1485" t="s">
        <v>23</v>
      </c>
      <c r="B1485">
        <f t="shared" ref="B1485" si="1207">_xlfn.NUMBERVALUE(RIGHT(A1485,2))</f>
        <v>7</v>
      </c>
      <c r="D1485" t="str">
        <f t="shared" ref="D1485:D1548" si="1208">A1485&amp;","</f>
        <v xml:space="preserve">    "resultPage": 7,</v>
      </c>
    </row>
    <row r="1486" spans="1:4" x14ac:dyDescent="0.55000000000000004">
      <c r="A1486" t="s">
        <v>763</v>
      </c>
      <c r="B1486" t="str">
        <f>VLOOKUP(B1485,Tabelle3!$A$2:$E$33,3,FALSE)</f>
        <v>Dazed</v>
      </c>
      <c r="C1486" t="s">
        <v>762</v>
      </c>
      <c r="D1486" t="str">
        <f t="shared" ref="D1486" si="1209">_xlfn.CONCAT(A1486:C1486)</f>
        <v xml:space="preserve">    "message":  "Dazed",</v>
      </c>
    </row>
    <row r="1487" spans="1:4" x14ac:dyDescent="0.55000000000000004">
      <c r="A1487" t="s">
        <v>764</v>
      </c>
      <c r="B1487" t="str">
        <f>VLOOKUP(B1485,Tabelle3!$A$2:$E$33,5,FALSE)</f>
        <v>Only Green Only Yellow</v>
      </c>
      <c r="C1487" t="s">
        <v>762</v>
      </c>
      <c r="D1487" t="str">
        <f t="shared" si="1199"/>
        <v xml:space="preserve">    "nextInstruction":  "Only Green Only Yellow",</v>
      </c>
    </row>
    <row r="1488" spans="1:4" x14ac:dyDescent="0.55000000000000004">
      <c r="A1488" t="s">
        <v>765</v>
      </c>
      <c r="B1488">
        <f>VLOOKUP(B1485,Tabelle3!$A$2:$E$33,4,FALSE)</f>
        <v>7</v>
      </c>
      <c r="D1488" t="str">
        <f t="shared" ref="D1488:D1551" si="1210">IF(ISNUMBER(B1488),(A1488&amp;B1488),"")</f>
        <v xml:space="preserve">    "damageModifier": 7</v>
      </c>
    </row>
    <row r="1489" spans="1:4" x14ac:dyDescent="0.55000000000000004">
      <c r="A1489" t="s">
        <v>6</v>
      </c>
      <c r="D1489" t="str">
        <f t="shared" ref="D1489:D1552" si="1211">A1489</f>
        <v xml:space="preserve">  },</v>
      </c>
    </row>
    <row r="1490" spans="1:4" x14ac:dyDescent="0.55000000000000004">
      <c r="A1490" t="s">
        <v>254</v>
      </c>
      <c r="D1490" t="str">
        <f t="shared" si="1211"/>
        <v xml:space="preserve">  "20-38": {</v>
      </c>
    </row>
    <row r="1491" spans="1:4" x14ac:dyDescent="0.55000000000000004">
      <c r="A1491" t="s">
        <v>238</v>
      </c>
      <c r="B1491">
        <f t="shared" ref="B1491" si="1212">_xlfn.NUMBERVALUE(RIGHT(A1491,2))</f>
        <v>29</v>
      </c>
      <c r="D1491" t="str">
        <f t="shared" ref="D1491:D1554" si="1213">A1491&amp;","</f>
        <v xml:space="preserve">    "resultPage": 29,</v>
      </c>
    </row>
    <row r="1492" spans="1:4" x14ac:dyDescent="0.55000000000000004">
      <c r="A1492" t="s">
        <v>763</v>
      </c>
      <c r="B1492" t="str">
        <f>VLOOKUP(B1491,Tabelle3!$A$2:$E$33,3,FALSE)</f>
        <v>Ducking</v>
      </c>
      <c r="C1492" t="s">
        <v>762</v>
      </c>
      <c r="D1492" t="str">
        <f t="shared" ref="D1492" si="1214">_xlfn.CONCAT(A1492:C1492)</f>
        <v xml:space="preserve">    "message":  "Ducking",</v>
      </c>
    </row>
    <row r="1493" spans="1:4" x14ac:dyDescent="0.55000000000000004">
      <c r="A1493" t="s">
        <v>764</v>
      </c>
      <c r="B1493" t="str">
        <f>VLOOKUP(B1491,Tabelle3!$A$2:$E$33,5,FALSE)</f>
        <v>No Orange Add + 2 to any DownSwing Restore 1 Body Point</v>
      </c>
      <c r="C1493" t="s">
        <v>762</v>
      </c>
      <c r="D1493" t="str">
        <f t="shared" si="1199"/>
        <v xml:space="preserve">    "nextInstruction":  "No Orange Add + 2 to any DownSwing Restore 1 Body Point",</v>
      </c>
    </row>
    <row r="1494" spans="1:4" x14ac:dyDescent="0.55000000000000004">
      <c r="A1494" t="s">
        <v>765</v>
      </c>
      <c r="B1494" t="str">
        <f>VLOOKUP(B1491,Tabelle3!$A$2:$E$33,4,FALSE)</f>
        <v>""</v>
      </c>
      <c r="D1494" t="str">
        <f t="shared" ref="D1494:D1557" si="1215">IF(ISNUMBER(B1494),(A1494&amp;B1494),"")</f>
        <v/>
      </c>
    </row>
    <row r="1495" spans="1:4" x14ac:dyDescent="0.55000000000000004">
      <c r="A1495" t="s">
        <v>6</v>
      </c>
      <c r="D1495" t="str">
        <f t="shared" ref="D1495:D1558" si="1216">A1495</f>
        <v xml:space="preserve">  },</v>
      </c>
    </row>
    <row r="1496" spans="1:4" x14ac:dyDescent="0.55000000000000004">
      <c r="A1496" t="s">
        <v>255</v>
      </c>
      <c r="D1496" t="str">
        <f t="shared" si="1216"/>
        <v xml:space="preserve">  "20-40": {</v>
      </c>
    </row>
    <row r="1497" spans="1:4" x14ac:dyDescent="0.55000000000000004">
      <c r="A1497" t="s">
        <v>20</v>
      </c>
      <c r="B1497">
        <f t="shared" ref="B1497" si="1217">_xlfn.NUMBERVALUE(RIGHT(A1497,2))</f>
        <v>53</v>
      </c>
      <c r="D1497" t="str">
        <f t="shared" ref="D1497:D1560" si="1218">A1497&amp;","</f>
        <v xml:space="preserve">    "resultPage": 53,</v>
      </c>
    </row>
    <row r="1498" spans="1:4" x14ac:dyDescent="0.55000000000000004">
      <c r="A1498" t="s">
        <v>763</v>
      </c>
      <c r="B1498" t="str">
        <f>VLOOKUP(B1497,Tabelle3!$A$2:$E$33,3,FALSE)</f>
        <v>Body Wound</v>
      </c>
      <c r="C1498" t="s">
        <v>762</v>
      </c>
      <c r="D1498" t="str">
        <f t="shared" ref="D1498" si="1219">_xlfn.CONCAT(A1498:C1498)</f>
        <v xml:space="preserve">    "message":  "Body Wound",</v>
      </c>
    </row>
    <row r="1499" spans="1:4" x14ac:dyDescent="0.55000000000000004">
      <c r="A1499" t="s">
        <v>764</v>
      </c>
      <c r="B1499" t="str">
        <f>VLOOKUP(B1497,Tabelle3!$A$2:$E$33,5,FALSE)</f>
        <v>No Red No Orange</v>
      </c>
      <c r="C1499" t="s">
        <v>762</v>
      </c>
      <c r="D1499" t="str">
        <f t="shared" si="1199"/>
        <v xml:space="preserve">    "nextInstruction":  "No Red No Orange",</v>
      </c>
    </row>
    <row r="1500" spans="1:4" x14ac:dyDescent="0.55000000000000004">
      <c r="A1500" t="s">
        <v>765</v>
      </c>
      <c r="B1500">
        <f>VLOOKUP(B1497,Tabelle3!$A$2:$E$33,4,FALSE)</f>
        <v>5</v>
      </c>
      <c r="D1500" t="str">
        <f t="shared" ref="D1500:D1563" si="1220">IF(ISNUMBER(B1500),(A1500&amp;B1500),"")</f>
        <v xml:space="preserve">    "damageModifier": 5</v>
      </c>
    </row>
    <row r="1501" spans="1:4" x14ac:dyDescent="0.55000000000000004">
      <c r="A1501" t="s">
        <v>6</v>
      </c>
      <c r="D1501" t="str">
        <f t="shared" ref="D1501:D1564" si="1221">A1501</f>
        <v xml:space="preserve">  },</v>
      </c>
    </row>
    <row r="1502" spans="1:4" x14ac:dyDescent="0.55000000000000004">
      <c r="A1502" t="s">
        <v>256</v>
      </c>
      <c r="D1502" t="str">
        <f t="shared" si="1221"/>
        <v xml:space="preserve">  "20-42": {</v>
      </c>
    </row>
    <row r="1503" spans="1:4" x14ac:dyDescent="0.55000000000000004">
      <c r="A1503" t="s">
        <v>10</v>
      </c>
      <c r="B1503">
        <f t="shared" ref="B1503" si="1222">_xlfn.NUMBERVALUE(RIGHT(A1503,2))</f>
        <v>31</v>
      </c>
      <c r="D1503" t="str">
        <f t="shared" ref="D1503:D1566" si="1223">A1503&amp;","</f>
        <v xml:space="preserve">    "resultPage": 31,</v>
      </c>
    </row>
    <row r="1504" spans="1:4" x14ac:dyDescent="0.55000000000000004">
      <c r="A1504" t="s">
        <v>763</v>
      </c>
      <c r="B1504" t="str">
        <f>VLOOKUP(B1503,Tabelle3!$A$2:$E$33,3,FALSE)</f>
        <v>Arm Wound</v>
      </c>
      <c r="C1504" t="s">
        <v>762</v>
      </c>
      <c r="D1504" t="str">
        <f t="shared" ref="D1504" si="1224">_xlfn.CONCAT(A1504:C1504)</f>
        <v xml:space="preserve">    "message":  "Arm Wound",</v>
      </c>
    </row>
    <row r="1505" spans="1:4" x14ac:dyDescent="0.55000000000000004">
      <c r="A1505" t="s">
        <v>764</v>
      </c>
      <c r="B1505" t="str">
        <f>VLOOKUP(B1503,Tabelle3!$A$2:$E$33,5,FALSE)</f>
        <v>No Orange</v>
      </c>
      <c r="C1505" t="s">
        <v>762</v>
      </c>
      <c r="D1505" t="str">
        <f t="shared" si="1199"/>
        <v xml:space="preserve">    "nextInstruction":  "No Orange",</v>
      </c>
    </row>
    <row r="1506" spans="1:4" x14ac:dyDescent="0.55000000000000004">
      <c r="A1506" t="s">
        <v>765</v>
      </c>
      <c r="B1506">
        <f>VLOOKUP(B1503,Tabelle3!$A$2:$E$33,4,FALSE)</f>
        <v>3</v>
      </c>
      <c r="D1506" t="str">
        <f t="shared" ref="D1506:D1569" si="1225">IF(ISNUMBER(B1506),(A1506&amp;B1506),"")</f>
        <v xml:space="preserve">    "damageModifier": 3</v>
      </c>
    </row>
    <row r="1507" spans="1:4" x14ac:dyDescent="0.55000000000000004">
      <c r="A1507" t="s">
        <v>6</v>
      </c>
      <c r="D1507" t="str">
        <f t="shared" ref="D1507:D1570" si="1226">A1507</f>
        <v xml:space="preserve">  },</v>
      </c>
    </row>
    <row r="1508" spans="1:4" x14ac:dyDescent="0.55000000000000004">
      <c r="A1508" t="s">
        <v>257</v>
      </c>
      <c r="D1508" t="str">
        <f t="shared" si="1226"/>
        <v xml:space="preserve">  "20-44": {</v>
      </c>
    </row>
    <row r="1509" spans="1:4" x14ac:dyDescent="0.55000000000000004">
      <c r="A1509" t="s">
        <v>58</v>
      </c>
      <c r="B1509">
        <f t="shared" ref="B1509" si="1227">_xlfn.NUMBERVALUE(RIGHT(A1509,2))</f>
        <v>19</v>
      </c>
      <c r="D1509" t="str">
        <f t="shared" ref="D1509:D1572" si="1228">A1509&amp;","</f>
        <v xml:space="preserve">    "resultPage": 19,</v>
      </c>
    </row>
    <row r="1510" spans="1:4" x14ac:dyDescent="0.55000000000000004">
      <c r="A1510" t="s">
        <v>763</v>
      </c>
      <c r="B1510" t="str">
        <f>VLOOKUP(B1509,Tabelle3!$A$2:$E$33,3,FALSE)</f>
        <v>Struck off Balance</v>
      </c>
      <c r="C1510" t="s">
        <v>762</v>
      </c>
      <c r="D1510" t="str">
        <f t="shared" ref="D1510" si="1229">_xlfn.CONCAT(A1510:C1510)</f>
        <v xml:space="preserve">    "message":  "Struck off Balance",</v>
      </c>
    </row>
    <row r="1511" spans="1:4" x14ac:dyDescent="0.55000000000000004">
      <c r="A1511" t="s">
        <v>764</v>
      </c>
      <c r="B1511" t="str">
        <f>VLOOKUP(B1509,Tabelle3!$A$2:$E$33,5,FALSE)</f>
        <v>Only Green Only Yellow</v>
      </c>
      <c r="C1511" t="s">
        <v>762</v>
      </c>
      <c r="D1511" t="str">
        <f t="shared" si="1199"/>
        <v xml:space="preserve">    "nextInstruction":  "Only Green Only Yellow",</v>
      </c>
    </row>
    <row r="1512" spans="1:4" x14ac:dyDescent="0.55000000000000004">
      <c r="A1512" t="s">
        <v>765</v>
      </c>
      <c r="B1512">
        <f>VLOOKUP(B1509,Tabelle3!$A$2:$E$33,4,FALSE)</f>
        <v>0</v>
      </c>
      <c r="D1512" t="str">
        <f t="shared" ref="D1512:D1575" si="1230">IF(ISNUMBER(B1512),(A1512&amp;B1512),"")</f>
        <v xml:space="preserve">    "damageModifier": 0</v>
      </c>
    </row>
    <row r="1513" spans="1:4" x14ac:dyDescent="0.55000000000000004">
      <c r="A1513" t="s">
        <v>6</v>
      </c>
      <c r="D1513" t="str">
        <f t="shared" ref="D1513:D1576" si="1231">A1513</f>
        <v xml:space="preserve">  },</v>
      </c>
    </row>
    <row r="1514" spans="1:4" x14ac:dyDescent="0.55000000000000004">
      <c r="A1514" t="s">
        <v>258</v>
      </c>
      <c r="D1514" t="str">
        <f t="shared" si="1231"/>
        <v xml:space="preserve">  "20-46": {</v>
      </c>
    </row>
    <row r="1515" spans="1:4" x14ac:dyDescent="0.55000000000000004">
      <c r="A1515" t="s">
        <v>238</v>
      </c>
      <c r="B1515">
        <f t="shared" ref="B1515" si="1232">_xlfn.NUMBERVALUE(RIGHT(A1515,2))</f>
        <v>29</v>
      </c>
      <c r="D1515" t="str">
        <f t="shared" ref="D1515:D1578" si="1233">A1515&amp;","</f>
        <v xml:space="preserve">    "resultPage": 29,</v>
      </c>
    </row>
    <row r="1516" spans="1:4" x14ac:dyDescent="0.55000000000000004">
      <c r="A1516" t="s">
        <v>763</v>
      </c>
      <c r="B1516" t="str">
        <f>VLOOKUP(B1515,Tabelle3!$A$2:$E$33,3,FALSE)</f>
        <v>Ducking</v>
      </c>
      <c r="C1516" t="s">
        <v>762</v>
      </c>
      <c r="D1516" t="str">
        <f t="shared" ref="D1516" si="1234">_xlfn.CONCAT(A1516:C1516)</f>
        <v xml:space="preserve">    "message":  "Ducking",</v>
      </c>
    </row>
    <row r="1517" spans="1:4" x14ac:dyDescent="0.55000000000000004">
      <c r="A1517" t="s">
        <v>764</v>
      </c>
      <c r="B1517" t="str">
        <f>VLOOKUP(B1515,Tabelle3!$A$2:$E$33,5,FALSE)</f>
        <v>No Orange Add + 2 to any DownSwing Restore 1 Body Point</v>
      </c>
      <c r="C1517" t="s">
        <v>762</v>
      </c>
      <c r="D1517" t="str">
        <f t="shared" si="1199"/>
        <v xml:space="preserve">    "nextInstruction":  "No Orange Add + 2 to any DownSwing Restore 1 Body Point",</v>
      </c>
    </row>
    <row r="1518" spans="1:4" x14ac:dyDescent="0.55000000000000004">
      <c r="A1518" t="s">
        <v>765</v>
      </c>
      <c r="B1518" t="str">
        <f>VLOOKUP(B1515,Tabelle3!$A$2:$E$33,4,FALSE)</f>
        <v>""</v>
      </c>
      <c r="D1518" t="str">
        <f t="shared" ref="D1518:D1581" si="1235">IF(ISNUMBER(B1518),(A1518&amp;B1518),"")</f>
        <v/>
      </c>
    </row>
    <row r="1519" spans="1:4" x14ac:dyDescent="0.55000000000000004">
      <c r="A1519" t="s">
        <v>6</v>
      </c>
      <c r="D1519" t="str">
        <f t="shared" ref="D1519:D1582" si="1236">A1519</f>
        <v xml:space="preserve">  },</v>
      </c>
    </row>
    <row r="1520" spans="1:4" x14ac:dyDescent="0.55000000000000004">
      <c r="A1520" t="s">
        <v>259</v>
      </c>
      <c r="D1520" t="str">
        <f t="shared" si="1236"/>
        <v xml:space="preserve">  "20-48": {</v>
      </c>
    </row>
    <row r="1521" spans="1:4" x14ac:dyDescent="0.55000000000000004">
      <c r="A1521" t="s">
        <v>238</v>
      </c>
      <c r="B1521">
        <f t="shared" ref="B1521" si="1237">_xlfn.NUMBERVALUE(RIGHT(A1521,2))</f>
        <v>29</v>
      </c>
      <c r="D1521" t="str">
        <f t="shared" ref="D1521:D1584" si="1238">A1521&amp;","</f>
        <v xml:space="preserve">    "resultPage": 29,</v>
      </c>
    </row>
    <row r="1522" spans="1:4" x14ac:dyDescent="0.55000000000000004">
      <c r="A1522" t="s">
        <v>763</v>
      </c>
      <c r="B1522" t="str">
        <f>VLOOKUP(B1521,Tabelle3!$A$2:$E$33,3,FALSE)</f>
        <v>Ducking</v>
      </c>
      <c r="C1522" t="s">
        <v>762</v>
      </c>
      <c r="D1522" t="str">
        <f t="shared" ref="D1522" si="1239">_xlfn.CONCAT(A1522:C1522)</f>
        <v xml:space="preserve">    "message":  "Ducking",</v>
      </c>
    </row>
    <row r="1523" spans="1:4" x14ac:dyDescent="0.55000000000000004">
      <c r="A1523" t="s">
        <v>764</v>
      </c>
      <c r="B1523" t="str">
        <f>VLOOKUP(B1521,Tabelle3!$A$2:$E$33,5,FALSE)</f>
        <v>No Orange Add + 2 to any DownSwing Restore 1 Body Point</v>
      </c>
      <c r="C1523" t="s">
        <v>762</v>
      </c>
      <c r="D1523" t="str">
        <f t="shared" si="1199"/>
        <v xml:space="preserve">    "nextInstruction":  "No Orange Add + 2 to any DownSwing Restore 1 Body Point",</v>
      </c>
    </row>
    <row r="1524" spans="1:4" x14ac:dyDescent="0.55000000000000004">
      <c r="A1524" t="s">
        <v>765</v>
      </c>
      <c r="B1524" t="str">
        <f>VLOOKUP(B1521,Tabelle3!$A$2:$E$33,4,FALSE)</f>
        <v>""</v>
      </c>
      <c r="D1524" t="str">
        <f t="shared" ref="D1524:D1587" si="1240">IF(ISNUMBER(B1524),(A1524&amp;B1524),"")</f>
        <v/>
      </c>
    </row>
    <row r="1525" spans="1:4" x14ac:dyDescent="0.55000000000000004">
      <c r="A1525" t="s">
        <v>6</v>
      </c>
      <c r="D1525" t="str">
        <f t="shared" ref="D1525:D1588" si="1241">A1525</f>
        <v xml:space="preserve">  },</v>
      </c>
    </row>
    <row r="1526" spans="1:4" x14ac:dyDescent="0.55000000000000004">
      <c r="A1526" t="s">
        <v>260</v>
      </c>
      <c r="D1526" t="str">
        <f t="shared" si="1241"/>
        <v xml:space="preserve">  "22-4": {</v>
      </c>
    </row>
    <row r="1527" spans="1:4" x14ac:dyDescent="0.55000000000000004">
      <c r="A1527" t="s">
        <v>80</v>
      </c>
      <c r="B1527">
        <f t="shared" ref="B1527" si="1242">_xlfn.NUMBERVALUE(RIGHT(A1527,2))</f>
        <v>11</v>
      </c>
      <c r="D1527" t="str">
        <f t="shared" ref="D1527:D1590" si="1243">A1527&amp;","</f>
        <v xml:space="preserve">    "resultPage": 11,</v>
      </c>
    </row>
    <row r="1528" spans="1:4" x14ac:dyDescent="0.55000000000000004">
      <c r="A1528" t="s">
        <v>763</v>
      </c>
      <c r="B1528" t="str">
        <f>VLOOKUP(B1527,Tabelle3!$A$2:$E$33,3,FALSE)</f>
        <v>Thrusting Low</v>
      </c>
      <c r="C1528" t="s">
        <v>762</v>
      </c>
      <c r="D1528" t="str">
        <f t="shared" ref="D1528" si="1244">_xlfn.CONCAT(A1528:C1528)</f>
        <v xml:space="preserve">    "message":  "Thrusting Low",</v>
      </c>
    </row>
    <row r="1529" spans="1:4" x14ac:dyDescent="0.55000000000000004">
      <c r="A1529" t="s">
        <v>764</v>
      </c>
      <c r="B1529" t="str">
        <f>VLOOKUP(B1527,Tabelle3!$A$2:$E$33,5,FALSE)</f>
        <v>No Red</v>
      </c>
      <c r="C1529" t="s">
        <v>762</v>
      </c>
      <c r="D1529" t="str">
        <f t="shared" si="1199"/>
        <v xml:space="preserve">    "nextInstruction":  "No Red",</v>
      </c>
    </row>
    <row r="1530" spans="1:4" x14ac:dyDescent="0.55000000000000004">
      <c r="A1530" t="s">
        <v>765</v>
      </c>
      <c r="B1530" t="str">
        <f>VLOOKUP(B1527,Tabelle3!$A$2:$E$33,4,FALSE)</f>
        <v>""</v>
      </c>
      <c r="D1530" t="str">
        <f t="shared" ref="D1530:D1593" si="1245">IF(ISNUMBER(B1530),(A1530&amp;B1530),"")</f>
        <v/>
      </c>
    </row>
    <row r="1531" spans="1:4" x14ac:dyDescent="0.55000000000000004">
      <c r="A1531" t="s">
        <v>6</v>
      </c>
      <c r="D1531" t="str">
        <f t="shared" ref="D1531:D1594" si="1246">A1531</f>
        <v xml:space="preserve">  },</v>
      </c>
    </row>
    <row r="1532" spans="1:4" x14ac:dyDescent="0.55000000000000004">
      <c r="A1532" t="s">
        <v>261</v>
      </c>
      <c r="D1532" t="str">
        <f t="shared" si="1246"/>
        <v xml:space="preserve">  "22-6": {</v>
      </c>
    </row>
    <row r="1533" spans="1:4" x14ac:dyDescent="0.55000000000000004">
      <c r="A1533" t="s">
        <v>80</v>
      </c>
      <c r="B1533">
        <f t="shared" ref="B1533" si="1247">_xlfn.NUMBERVALUE(RIGHT(A1533,2))</f>
        <v>11</v>
      </c>
      <c r="D1533" t="str">
        <f t="shared" ref="D1533:D1596" si="1248">A1533&amp;","</f>
        <v xml:space="preserve">    "resultPage": 11,</v>
      </c>
    </row>
    <row r="1534" spans="1:4" x14ac:dyDescent="0.55000000000000004">
      <c r="A1534" t="s">
        <v>763</v>
      </c>
      <c r="B1534" t="str">
        <f>VLOOKUP(B1533,Tabelle3!$A$2:$E$33,3,FALSE)</f>
        <v>Thrusting Low</v>
      </c>
      <c r="C1534" t="s">
        <v>762</v>
      </c>
      <c r="D1534" t="str">
        <f t="shared" ref="D1534" si="1249">_xlfn.CONCAT(A1534:C1534)</f>
        <v xml:space="preserve">    "message":  "Thrusting Low",</v>
      </c>
    </row>
    <row r="1535" spans="1:4" x14ac:dyDescent="0.55000000000000004">
      <c r="A1535" t="s">
        <v>764</v>
      </c>
      <c r="B1535" t="str">
        <f>VLOOKUP(B1533,Tabelle3!$A$2:$E$33,5,FALSE)</f>
        <v>No Red</v>
      </c>
      <c r="C1535" t="s">
        <v>762</v>
      </c>
      <c r="D1535" t="str">
        <f t="shared" si="1199"/>
        <v xml:space="preserve">    "nextInstruction":  "No Red",</v>
      </c>
    </row>
    <row r="1536" spans="1:4" x14ac:dyDescent="0.55000000000000004">
      <c r="A1536" t="s">
        <v>765</v>
      </c>
      <c r="B1536" t="str">
        <f>VLOOKUP(B1533,Tabelle3!$A$2:$E$33,4,FALSE)</f>
        <v>""</v>
      </c>
      <c r="D1536" t="str">
        <f t="shared" ref="D1536:D1599" si="1250">IF(ISNUMBER(B1536),(A1536&amp;B1536),"")</f>
        <v/>
      </c>
    </row>
    <row r="1537" spans="1:4" x14ac:dyDescent="0.55000000000000004">
      <c r="A1537" t="s">
        <v>6</v>
      </c>
      <c r="D1537" t="str">
        <f t="shared" ref="D1537:D1600" si="1251">A1537</f>
        <v xml:space="preserve">  },</v>
      </c>
    </row>
    <row r="1538" spans="1:4" x14ac:dyDescent="0.55000000000000004">
      <c r="A1538" t="s">
        <v>262</v>
      </c>
      <c r="D1538" t="str">
        <f t="shared" si="1251"/>
        <v xml:space="preserve">  "22-8": {</v>
      </c>
    </row>
    <row r="1539" spans="1:4" x14ac:dyDescent="0.55000000000000004">
      <c r="A1539" t="s">
        <v>125</v>
      </c>
      <c r="B1539">
        <f t="shared" ref="B1539" si="1252">_xlfn.NUMBERVALUE(RIGHT(A1539,2))</f>
        <v>21</v>
      </c>
      <c r="D1539" t="str">
        <f t="shared" ref="D1539:D1602" si="1253">A1539&amp;","</f>
        <v xml:space="preserve">    "resultPage": 21,</v>
      </c>
    </row>
    <row r="1540" spans="1:4" x14ac:dyDescent="0.55000000000000004">
      <c r="A1540" t="s">
        <v>763</v>
      </c>
      <c r="B1540" t="str">
        <f>VLOOKUP(B1539,Tabelle3!$A$2:$E$33,3,FALSE)</f>
        <v>Turned Around</v>
      </c>
      <c r="C1540" t="s">
        <v>762</v>
      </c>
      <c r="D1540" t="str">
        <f t="shared" ref="D1540:D1601" si="1254">_xlfn.CONCAT(A1540:C1540)</f>
        <v xml:space="preserve">    "message":  "Turned Around",</v>
      </c>
    </row>
    <row r="1541" spans="1:4" x14ac:dyDescent="0.55000000000000004">
      <c r="A1541" t="s">
        <v>764</v>
      </c>
      <c r="B1541" t="str">
        <f>VLOOKUP(B1539,Tabelle3!$A$2:$E$33,5,FALSE)</f>
        <v>Only Yellow</v>
      </c>
      <c r="C1541" t="s">
        <v>762</v>
      </c>
      <c r="D1541" t="str">
        <f t="shared" si="1254"/>
        <v xml:space="preserve">    "nextInstruction":  "Only Yellow",</v>
      </c>
    </row>
    <row r="1542" spans="1:4" x14ac:dyDescent="0.55000000000000004">
      <c r="A1542" t="s">
        <v>765</v>
      </c>
      <c r="B1542">
        <f>VLOOKUP(B1539,Tabelle3!$A$2:$E$33,4,FALSE)</f>
        <v>0</v>
      </c>
      <c r="D1542" t="str">
        <f t="shared" ref="D1542:D1605" si="1255">IF(ISNUMBER(B1542),(A1542&amp;B1542),"")</f>
        <v xml:space="preserve">    "damageModifier": 0</v>
      </c>
    </row>
    <row r="1543" spans="1:4" x14ac:dyDescent="0.55000000000000004">
      <c r="A1543" t="s">
        <v>6</v>
      </c>
      <c r="D1543" t="str">
        <f t="shared" ref="D1543:D1606" si="1256">A1543</f>
        <v xml:space="preserve">  },</v>
      </c>
    </row>
    <row r="1544" spans="1:4" x14ac:dyDescent="0.55000000000000004">
      <c r="A1544" t="s">
        <v>263</v>
      </c>
      <c r="D1544" t="str">
        <f t="shared" si="1256"/>
        <v xml:space="preserve">  "22-10": {</v>
      </c>
    </row>
    <row r="1545" spans="1:4" x14ac:dyDescent="0.55000000000000004">
      <c r="A1545" t="s">
        <v>23</v>
      </c>
      <c r="B1545">
        <f t="shared" ref="B1545" si="1257">_xlfn.NUMBERVALUE(RIGHT(A1545,2))</f>
        <v>7</v>
      </c>
      <c r="D1545" t="str">
        <f t="shared" ref="D1545:D1608" si="1258">A1545&amp;","</f>
        <v xml:space="preserve">    "resultPage": 7,</v>
      </c>
    </row>
    <row r="1546" spans="1:4" x14ac:dyDescent="0.55000000000000004">
      <c r="A1546" t="s">
        <v>763</v>
      </c>
      <c r="B1546" t="str">
        <f>VLOOKUP(B1545,Tabelle3!$A$2:$E$33,3,FALSE)</f>
        <v>Dazed</v>
      </c>
      <c r="C1546" t="s">
        <v>762</v>
      </c>
      <c r="D1546" t="str">
        <f t="shared" ref="D1546" si="1259">_xlfn.CONCAT(A1546:C1546)</f>
        <v xml:space="preserve">    "message":  "Dazed",</v>
      </c>
    </row>
    <row r="1547" spans="1:4" x14ac:dyDescent="0.55000000000000004">
      <c r="A1547" t="s">
        <v>764</v>
      </c>
      <c r="B1547" t="str">
        <f>VLOOKUP(B1545,Tabelle3!$A$2:$E$33,5,FALSE)</f>
        <v>Only Green Only Yellow</v>
      </c>
      <c r="C1547" t="s">
        <v>762</v>
      </c>
      <c r="D1547" t="str">
        <f t="shared" si="1254"/>
        <v xml:space="preserve">    "nextInstruction":  "Only Green Only Yellow",</v>
      </c>
    </row>
    <row r="1548" spans="1:4" x14ac:dyDescent="0.55000000000000004">
      <c r="A1548" t="s">
        <v>765</v>
      </c>
      <c r="B1548">
        <f>VLOOKUP(B1545,Tabelle3!$A$2:$E$33,4,FALSE)</f>
        <v>7</v>
      </c>
      <c r="D1548" t="str">
        <f t="shared" ref="D1548:D1611" si="1260">IF(ISNUMBER(B1548),(A1548&amp;B1548),"")</f>
        <v xml:space="preserve">    "damageModifier": 7</v>
      </c>
    </row>
    <row r="1549" spans="1:4" x14ac:dyDescent="0.55000000000000004">
      <c r="A1549" t="s">
        <v>6</v>
      </c>
      <c r="D1549" t="str">
        <f t="shared" ref="D1549:D1612" si="1261">A1549</f>
        <v xml:space="preserve">  },</v>
      </c>
    </row>
    <row r="1550" spans="1:4" x14ac:dyDescent="0.55000000000000004">
      <c r="A1550" t="s">
        <v>264</v>
      </c>
      <c r="D1550" t="str">
        <f t="shared" si="1261"/>
        <v xml:space="preserve">  "22-12": {</v>
      </c>
    </row>
    <row r="1551" spans="1:4" x14ac:dyDescent="0.55000000000000004">
      <c r="A1551" t="s">
        <v>80</v>
      </c>
      <c r="B1551">
        <f t="shared" ref="B1551" si="1262">_xlfn.NUMBERVALUE(RIGHT(A1551,2))</f>
        <v>11</v>
      </c>
      <c r="D1551" t="str">
        <f t="shared" ref="D1551:D1614" si="1263">A1551&amp;","</f>
        <v xml:space="preserve">    "resultPage": 11,</v>
      </c>
    </row>
    <row r="1552" spans="1:4" x14ac:dyDescent="0.55000000000000004">
      <c r="A1552" t="s">
        <v>763</v>
      </c>
      <c r="B1552" t="str">
        <f>VLOOKUP(B1551,Tabelle3!$A$2:$E$33,3,FALSE)</f>
        <v>Thrusting Low</v>
      </c>
      <c r="C1552" t="s">
        <v>762</v>
      </c>
      <c r="D1552" t="str">
        <f t="shared" ref="D1552" si="1264">_xlfn.CONCAT(A1552:C1552)</f>
        <v xml:space="preserve">    "message":  "Thrusting Low",</v>
      </c>
    </row>
    <row r="1553" spans="1:4" x14ac:dyDescent="0.55000000000000004">
      <c r="A1553" t="s">
        <v>764</v>
      </c>
      <c r="B1553" t="str">
        <f>VLOOKUP(B1551,Tabelle3!$A$2:$E$33,5,FALSE)</f>
        <v>No Red</v>
      </c>
      <c r="C1553" t="s">
        <v>762</v>
      </c>
      <c r="D1553" t="str">
        <f t="shared" si="1254"/>
        <v xml:space="preserve">    "nextInstruction":  "No Red",</v>
      </c>
    </row>
    <row r="1554" spans="1:4" x14ac:dyDescent="0.55000000000000004">
      <c r="A1554" t="s">
        <v>765</v>
      </c>
      <c r="B1554" t="str">
        <f>VLOOKUP(B1551,Tabelle3!$A$2:$E$33,4,FALSE)</f>
        <v>""</v>
      </c>
      <c r="D1554" t="str">
        <f t="shared" ref="D1554:D1617" si="1265">IF(ISNUMBER(B1554),(A1554&amp;B1554),"")</f>
        <v/>
      </c>
    </row>
    <row r="1555" spans="1:4" x14ac:dyDescent="0.55000000000000004">
      <c r="A1555" t="s">
        <v>6</v>
      </c>
      <c r="D1555" t="str">
        <f t="shared" ref="D1555:D1618" si="1266">A1555</f>
        <v xml:space="preserve">  },</v>
      </c>
    </row>
    <row r="1556" spans="1:4" x14ac:dyDescent="0.55000000000000004">
      <c r="A1556" t="s">
        <v>265</v>
      </c>
      <c r="D1556" t="str">
        <f t="shared" si="1266"/>
        <v xml:space="preserve">  "22-14": {</v>
      </c>
    </row>
    <row r="1557" spans="1:4" x14ac:dyDescent="0.55000000000000004">
      <c r="A1557" t="s">
        <v>80</v>
      </c>
      <c r="B1557">
        <f t="shared" ref="B1557" si="1267">_xlfn.NUMBERVALUE(RIGHT(A1557,2))</f>
        <v>11</v>
      </c>
      <c r="D1557" t="str">
        <f t="shared" ref="D1557:D1620" si="1268">A1557&amp;","</f>
        <v xml:space="preserve">    "resultPage": 11,</v>
      </c>
    </row>
    <row r="1558" spans="1:4" x14ac:dyDescent="0.55000000000000004">
      <c r="A1558" t="s">
        <v>763</v>
      </c>
      <c r="B1558" t="str">
        <f>VLOOKUP(B1557,Tabelle3!$A$2:$E$33,3,FALSE)</f>
        <v>Thrusting Low</v>
      </c>
      <c r="C1558" t="s">
        <v>762</v>
      </c>
      <c r="D1558" t="str">
        <f t="shared" ref="D1558" si="1269">_xlfn.CONCAT(A1558:C1558)</f>
        <v xml:space="preserve">    "message":  "Thrusting Low",</v>
      </c>
    </row>
    <row r="1559" spans="1:4" x14ac:dyDescent="0.55000000000000004">
      <c r="A1559" t="s">
        <v>764</v>
      </c>
      <c r="B1559" t="str">
        <f>VLOOKUP(B1557,Tabelle3!$A$2:$E$33,5,FALSE)</f>
        <v>No Red</v>
      </c>
      <c r="C1559" t="s">
        <v>762</v>
      </c>
      <c r="D1559" t="str">
        <f t="shared" si="1254"/>
        <v xml:space="preserve">    "nextInstruction":  "No Red",</v>
      </c>
    </row>
    <row r="1560" spans="1:4" x14ac:dyDescent="0.55000000000000004">
      <c r="A1560" t="s">
        <v>765</v>
      </c>
      <c r="B1560" t="str">
        <f>VLOOKUP(B1557,Tabelle3!$A$2:$E$33,4,FALSE)</f>
        <v>""</v>
      </c>
      <c r="D1560" t="str">
        <f t="shared" ref="D1560:D1623" si="1270">IF(ISNUMBER(B1560),(A1560&amp;B1560),"")</f>
        <v/>
      </c>
    </row>
    <row r="1561" spans="1:4" x14ac:dyDescent="0.55000000000000004">
      <c r="A1561" t="s">
        <v>6</v>
      </c>
      <c r="D1561" t="str">
        <f t="shared" ref="D1561:D1624" si="1271">A1561</f>
        <v xml:space="preserve">  },</v>
      </c>
    </row>
    <row r="1562" spans="1:4" x14ac:dyDescent="0.55000000000000004">
      <c r="A1562" t="s">
        <v>266</v>
      </c>
      <c r="D1562" t="str">
        <f t="shared" si="1271"/>
        <v xml:space="preserve">  "22-16": {</v>
      </c>
    </row>
    <row r="1563" spans="1:4" x14ac:dyDescent="0.55000000000000004">
      <c r="A1563" t="s">
        <v>80</v>
      </c>
      <c r="B1563">
        <f t="shared" ref="B1563" si="1272">_xlfn.NUMBERVALUE(RIGHT(A1563,2))</f>
        <v>11</v>
      </c>
      <c r="D1563" t="str">
        <f t="shared" ref="D1563:D1626" si="1273">A1563&amp;","</f>
        <v xml:space="preserve">    "resultPage": 11,</v>
      </c>
    </row>
    <row r="1564" spans="1:4" x14ac:dyDescent="0.55000000000000004">
      <c r="A1564" t="s">
        <v>763</v>
      </c>
      <c r="B1564" t="str">
        <f>VLOOKUP(B1563,Tabelle3!$A$2:$E$33,3,FALSE)</f>
        <v>Thrusting Low</v>
      </c>
      <c r="C1564" t="s">
        <v>762</v>
      </c>
      <c r="D1564" t="str">
        <f t="shared" ref="D1564" si="1274">_xlfn.CONCAT(A1564:C1564)</f>
        <v xml:space="preserve">    "message":  "Thrusting Low",</v>
      </c>
    </row>
    <row r="1565" spans="1:4" x14ac:dyDescent="0.55000000000000004">
      <c r="A1565" t="s">
        <v>764</v>
      </c>
      <c r="B1565" t="str">
        <f>VLOOKUP(B1563,Tabelle3!$A$2:$E$33,5,FALSE)</f>
        <v>No Red</v>
      </c>
      <c r="C1565" t="s">
        <v>762</v>
      </c>
      <c r="D1565" t="str">
        <f t="shared" si="1254"/>
        <v xml:space="preserve">    "nextInstruction":  "No Red",</v>
      </c>
    </row>
    <row r="1566" spans="1:4" x14ac:dyDescent="0.55000000000000004">
      <c r="A1566" t="s">
        <v>765</v>
      </c>
      <c r="B1566" t="str">
        <f>VLOOKUP(B1563,Tabelle3!$A$2:$E$33,4,FALSE)</f>
        <v>""</v>
      </c>
      <c r="D1566" t="str">
        <f t="shared" ref="D1566:D1629" si="1275">IF(ISNUMBER(B1566),(A1566&amp;B1566),"")</f>
        <v/>
      </c>
    </row>
    <row r="1567" spans="1:4" x14ac:dyDescent="0.55000000000000004">
      <c r="A1567" t="s">
        <v>6</v>
      </c>
      <c r="D1567" t="str">
        <f t="shared" ref="D1567:D1630" si="1276">A1567</f>
        <v xml:space="preserve">  },</v>
      </c>
    </row>
    <row r="1568" spans="1:4" x14ac:dyDescent="0.55000000000000004">
      <c r="A1568" t="s">
        <v>267</v>
      </c>
      <c r="D1568" t="str">
        <f t="shared" si="1276"/>
        <v xml:space="preserve">  "22-18": {</v>
      </c>
    </row>
    <row r="1569" spans="1:4" x14ac:dyDescent="0.55000000000000004">
      <c r="A1569" t="s">
        <v>80</v>
      </c>
      <c r="B1569">
        <f t="shared" ref="B1569" si="1277">_xlfn.NUMBERVALUE(RIGHT(A1569,2))</f>
        <v>11</v>
      </c>
      <c r="D1569" t="str">
        <f t="shared" ref="D1569:D1632" si="1278">A1569&amp;","</f>
        <v xml:space="preserve">    "resultPage": 11,</v>
      </c>
    </row>
    <row r="1570" spans="1:4" x14ac:dyDescent="0.55000000000000004">
      <c r="A1570" t="s">
        <v>763</v>
      </c>
      <c r="B1570" t="str">
        <f>VLOOKUP(B1569,Tabelle3!$A$2:$E$33,3,FALSE)</f>
        <v>Thrusting Low</v>
      </c>
      <c r="C1570" t="s">
        <v>762</v>
      </c>
      <c r="D1570" t="str">
        <f t="shared" ref="D1570" si="1279">_xlfn.CONCAT(A1570:C1570)</f>
        <v xml:space="preserve">    "message":  "Thrusting Low",</v>
      </c>
    </row>
    <row r="1571" spans="1:4" x14ac:dyDescent="0.55000000000000004">
      <c r="A1571" t="s">
        <v>764</v>
      </c>
      <c r="B1571" t="str">
        <f>VLOOKUP(B1569,Tabelle3!$A$2:$E$33,5,FALSE)</f>
        <v>No Red</v>
      </c>
      <c r="C1571" t="s">
        <v>762</v>
      </c>
      <c r="D1571" t="str">
        <f t="shared" si="1254"/>
        <v xml:space="preserve">    "nextInstruction":  "No Red",</v>
      </c>
    </row>
    <row r="1572" spans="1:4" x14ac:dyDescent="0.55000000000000004">
      <c r="A1572" t="s">
        <v>765</v>
      </c>
      <c r="B1572" t="str">
        <f>VLOOKUP(B1569,Tabelle3!$A$2:$E$33,4,FALSE)</f>
        <v>""</v>
      </c>
      <c r="D1572" t="str">
        <f t="shared" ref="D1572:D1635" si="1280">IF(ISNUMBER(B1572),(A1572&amp;B1572),"")</f>
        <v/>
      </c>
    </row>
    <row r="1573" spans="1:4" x14ac:dyDescent="0.55000000000000004">
      <c r="A1573" t="s">
        <v>6</v>
      </c>
      <c r="D1573" t="str">
        <f t="shared" ref="D1573:D1636" si="1281">A1573</f>
        <v xml:space="preserve">  },</v>
      </c>
    </row>
    <row r="1574" spans="1:4" x14ac:dyDescent="0.55000000000000004">
      <c r="A1574" t="s">
        <v>268</v>
      </c>
      <c r="D1574" t="str">
        <f t="shared" si="1281"/>
        <v xml:space="preserve">  "22-20": {</v>
      </c>
    </row>
    <row r="1575" spans="1:4" x14ac:dyDescent="0.55000000000000004">
      <c r="A1575" t="s">
        <v>80</v>
      </c>
      <c r="B1575">
        <f t="shared" ref="B1575" si="1282">_xlfn.NUMBERVALUE(RIGHT(A1575,2))</f>
        <v>11</v>
      </c>
      <c r="D1575" t="str">
        <f t="shared" ref="D1575:D1638" si="1283">A1575&amp;","</f>
        <v xml:space="preserve">    "resultPage": 11,</v>
      </c>
    </row>
    <row r="1576" spans="1:4" x14ac:dyDescent="0.55000000000000004">
      <c r="A1576" t="s">
        <v>763</v>
      </c>
      <c r="B1576" t="str">
        <f>VLOOKUP(B1575,Tabelle3!$A$2:$E$33,3,FALSE)</f>
        <v>Thrusting Low</v>
      </c>
      <c r="C1576" t="s">
        <v>762</v>
      </c>
      <c r="D1576" t="str">
        <f t="shared" ref="D1576" si="1284">_xlfn.CONCAT(A1576:C1576)</f>
        <v xml:space="preserve">    "message":  "Thrusting Low",</v>
      </c>
    </row>
    <row r="1577" spans="1:4" x14ac:dyDescent="0.55000000000000004">
      <c r="A1577" t="s">
        <v>764</v>
      </c>
      <c r="B1577" t="str">
        <f>VLOOKUP(B1575,Tabelle3!$A$2:$E$33,5,FALSE)</f>
        <v>No Red</v>
      </c>
      <c r="C1577" t="s">
        <v>762</v>
      </c>
      <c r="D1577" t="str">
        <f t="shared" si="1254"/>
        <v xml:space="preserve">    "nextInstruction":  "No Red",</v>
      </c>
    </row>
    <row r="1578" spans="1:4" x14ac:dyDescent="0.55000000000000004">
      <c r="A1578" t="s">
        <v>765</v>
      </c>
      <c r="B1578" t="str">
        <f>VLOOKUP(B1575,Tabelle3!$A$2:$E$33,4,FALSE)</f>
        <v>""</v>
      </c>
      <c r="D1578" t="str">
        <f t="shared" ref="D1578:D1641" si="1285">IF(ISNUMBER(B1578),(A1578&amp;B1578),"")</f>
        <v/>
      </c>
    </row>
    <row r="1579" spans="1:4" x14ac:dyDescent="0.55000000000000004">
      <c r="A1579" t="s">
        <v>6</v>
      </c>
      <c r="D1579" t="str">
        <f t="shared" ref="D1579:D1642" si="1286">A1579</f>
        <v xml:space="preserve">  },</v>
      </c>
    </row>
    <row r="1580" spans="1:4" x14ac:dyDescent="0.55000000000000004">
      <c r="A1580" t="s">
        <v>269</v>
      </c>
      <c r="D1580" t="str">
        <f t="shared" si="1286"/>
        <v xml:space="preserve">  "22-22": {</v>
      </c>
    </row>
    <row r="1581" spans="1:4" x14ac:dyDescent="0.55000000000000004">
      <c r="A1581" t="s">
        <v>80</v>
      </c>
      <c r="B1581">
        <f t="shared" ref="B1581" si="1287">_xlfn.NUMBERVALUE(RIGHT(A1581,2))</f>
        <v>11</v>
      </c>
      <c r="D1581" t="str">
        <f t="shared" ref="D1581:D1644" si="1288">A1581&amp;","</f>
        <v xml:space="preserve">    "resultPage": 11,</v>
      </c>
    </row>
    <row r="1582" spans="1:4" x14ac:dyDescent="0.55000000000000004">
      <c r="A1582" t="s">
        <v>763</v>
      </c>
      <c r="B1582" t="str">
        <f>VLOOKUP(B1581,Tabelle3!$A$2:$E$33,3,FALSE)</f>
        <v>Thrusting Low</v>
      </c>
      <c r="C1582" t="s">
        <v>762</v>
      </c>
      <c r="D1582" t="str">
        <f t="shared" ref="D1582" si="1289">_xlfn.CONCAT(A1582:C1582)</f>
        <v xml:space="preserve">    "message":  "Thrusting Low",</v>
      </c>
    </row>
    <row r="1583" spans="1:4" x14ac:dyDescent="0.55000000000000004">
      <c r="A1583" t="s">
        <v>764</v>
      </c>
      <c r="B1583" t="str">
        <f>VLOOKUP(B1581,Tabelle3!$A$2:$E$33,5,FALSE)</f>
        <v>No Red</v>
      </c>
      <c r="C1583" t="s">
        <v>762</v>
      </c>
      <c r="D1583" t="str">
        <f t="shared" si="1254"/>
        <v xml:space="preserve">    "nextInstruction":  "No Red",</v>
      </c>
    </row>
    <row r="1584" spans="1:4" x14ac:dyDescent="0.55000000000000004">
      <c r="A1584" t="s">
        <v>765</v>
      </c>
      <c r="B1584" t="str">
        <f>VLOOKUP(B1581,Tabelle3!$A$2:$E$33,4,FALSE)</f>
        <v>""</v>
      </c>
      <c r="D1584" t="str">
        <f t="shared" ref="D1584:D1647" si="1290">IF(ISNUMBER(B1584),(A1584&amp;B1584),"")</f>
        <v/>
      </c>
    </row>
    <row r="1585" spans="1:4" x14ac:dyDescent="0.55000000000000004">
      <c r="A1585" t="s">
        <v>6</v>
      </c>
      <c r="D1585" t="str">
        <f t="shared" ref="D1585:D1648" si="1291">A1585</f>
        <v xml:space="preserve">  },</v>
      </c>
    </row>
    <row r="1586" spans="1:4" x14ac:dyDescent="0.55000000000000004">
      <c r="A1586" t="s">
        <v>270</v>
      </c>
      <c r="D1586" t="str">
        <f t="shared" si="1291"/>
        <v xml:space="preserve">  "22-24": {</v>
      </c>
    </row>
    <row r="1587" spans="1:4" x14ac:dyDescent="0.55000000000000004">
      <c r="A1587" t="s">
        <v>80</v>
      </c>
      <c r="B1587">
        <f t="shared" ref="B1587" si="1292">_xlfn.NUMBERVALUE(RIGHT(A1587,2))</f>
        <v>11</v>
      </c>
      <c r="D1587" t="str">
        <f t="shared" ref="D1587:D1650" si="1293">A1587&amp;","</f>
        <v xml:space="preserve">    "resultPage": 11,</v>
      </c>
    </row>
    <row r="1588" spans="1:4" x14ac:dyDescent="0.55000000000000004">
      <c r="A1588" t="s">
        <v>763</v>
      </c>
      <c r="B1588" t="str">
        <f>VLOOKUP(B1587,Tabelle3!$A$2:$E$33,3,FALSE)</f>
        <v>Thrusting Low</v>
      </c>
      <c r="C1588" t="s">
        <v>762</v>
      </c>
      <c r="D1588" t="str">
        <f t="shared" ref="D1588" si="1294">_xlfn.CONCAT(A1588:C1588)</f>
        <v xml:space="preserve">    "message":  "Thrusting Low",</v>
      </c>
    </row>
    <row r="1589" spans="1:4" x14ac:dyDescent="0.55000000000000004">
      <c r="A1589" t="s">
        <v>764</v>
      </c>
      <c r="B1589" t="str">
        <f>VLOOKUP(B1587,Tabelle3!$A$2:$E$33,5,FALSE)</f>
        <v>No Red</v>
      </c>
      <c r="C1589" t="s">
        <v>762</v>
      </c>
      <c r="D1589" t="str">
        <f t="shared" si="1254"/>
        <v xml:space="preserve">    "nextInstruction":  "No Red",</v>
      </c>
    </row>
    <row r="1590" spans="1:4" x14ac:dyDescent="0.55000000000000004">
      <c r="A1590" t="s">
        <v>765</v>
      </c>
      <c r="B1590" t="str">
        <f>VLOOKUP(B1587,Tabelle3!$A$2:$E$33,4,FALSE)</f>
        <v>""</v>
      </c>
      <c r="D1590" t="str">
        <f t="shared" ref="D1590:D1653" si="1295">IF(ISNUMBER(B1590),(A1590&amp;B1590),"")</f>
        <v/>
      </c>
    </row>
    <row r="1591" spans="1:4" x14ac:dyDescent="0.55000000000000004">
      <c r="A1591" t="s">
        <v>6</v>
      </c>
      <c r="D1591" t="str">
        <f t="shared" ref="D1591:D1654" si="1296">A1591</f>
        <v xml:space="preserve">  },</v>
      </c>
    </row>
    <row r="1592" spans="1:4" x14ac:dyDescent="0.55000000000000004">
      <c r="A1592" t="s">
        <v>271</v>
      </c>
      <c r="D1592" t="str">
        <f t="shared" si="1296"/>
        <v xml:space="preserve">  "22-26": {</v>
      </c>
    </row>
    <row r="1593" spans="1:4" x14ac:dyDescent="0.55000000000000004">
      <c r="A1593" t="s">
        <v>80</v>
      </c>
      <c r="B1593">
        <f t="shared" ref="B1593" si="1297">_xlfn.NUMBERVALUE(RIGHT(A1593,2))</f>
        <v>11</v>
      </c>
      <c r="D1593" t="str">
        <f t="shared" ref="D1593:D1656" si="1298">A1593&amp;","</f>
        <v xml:space="preserve">    "resultPage": 11,</v>
      </c>
    </row>
    <row r="1594" spans="1:4" x14ac:dyDescent="0.55000000000000004">
      <c r="A1594" t="s">
        <v>763</v>
      </c>
      <c r="B1594" t="str">
        <f>VLOOKUP(B1593,Tabelle3!$A$2:$E$33,3,FALSE)</f>
        <v>Thrusting Low</v>
      </c>
      <c r="C1594" t="s">
        <v>762</v>
      </c>
      <c r="D1594" t="str">
        <f t="shared" ref="D1594" si="1299">_xlfn.CONCAT(A1594:C1594)</f>
        <v xml:space="preserve">    "message":  "Thrusting Low",</v>
      </c>
    </row>
    <row r="1595" spans="1:4" x14ac:dyDescent="0.55000000000000004">
      <c r="A1595" t="s">
        <v>764</v>
      </c>
      <c r="B1595" t="str">
        <f>VLOOKUP(B1593,Tabelle3!$A$2:$E$33,5,FALSE)</f>
        <v>No Red</v>
      </c>
      <c r="C1595" t="s">
        <v>762</v>
      </c>
      <c r="D1595" t="str">
        <f t="shared" si="1254"/>
        <v xml:space="preserve">    "nextInstruction":  "No Red",</v>
      </c>
    </row>
    <row r="1596" spans="1:4" x14ac:dyDescent="0.55000000000000004">
      <c r="A1596" t="s">
        <v>765</v>
      </c>
      <c r="B1596" t="str">
        <f>VLOOKUP(B1593,Tabelle3!$A$2:$E$33,4,FALSE)</f>
        <v>""</v>
      </c>
      <c r="D1596" t="str">
        <f t="shared" ref="D1596:D1659" si="1300">IF(ISNUMBER(B1596),(A1596&amp;B1596),"")</f>
        <v/>
      </c>
    </row>
    <row r="1597" spans="1:4" x14ac:dyDescent="0.55000000000000004">
      <c r="A1597" t="s">
        <v>6</v>
      </c>
      <c r="D1597" t="str">
        <f t="shared" ref="D1597:D1660" si="1301">A1597</f>
        <v xml:space="preserve">  },</v>
      </c>
    </row>
    <row r="1598" spans="1:4" x14ac:dyDescent="0.55000000000000004">
      <c r="A1598" t="s">
        <v>272</v>
      </c>
      <c r="D1598" t="str">
        <f t="shared" si="1301"/>
        <v xml:space="preserve">  "22-28": {</v>
      </c>
    </row>
    <row r="1599" spans="1:4" x14ac:dyDescent="0.55000000000000004">
      <c r="A1599" t="s">
        <v>80</v>
      </c>
      <c r="B1599">
        <f t="shared" ref="B1599" si="1302">_xlfn.NUMBERVALUE(RIGHT(A1599,2))</f>
        <v>11</v>
      </c>
      <c r="D1599" t="str">
        <f t="shared" ref="D1599:D1662" si="1303">A1599&amp;","</f>
        <v xml:space="preserve">    "resultPage": 11,</v>
      </c>
    </row>
    <row r="1600" spans="1:4" x14ac:dyDescent="0.55000000000000004">
      <c r="A1600" t="s">
        <v>763</v>
      </c>
      <c r="B1600" t="str">
        <f>VLOOKUP(B1599,Tabelle3!$A$2:$E$33,3,FALSE)</f>
        <v>Thrusting Low</v>
      </c>
      <c r="C1600" t="s">
        <v>762</v>
      </c>
      <c r="D1600" t="str">
        <f t="shared" ref="D1600" si="1304">_xlfn.CONCAT(A1600:C1600)</f>
        <v xml:space="preserve">    "message":  "Thrusting Low",</v>
      </c>
    </row>
    <row r="1601" spans="1:4" x14ac:dyDescent="0.55000000000000004">
      <c r="A1601" t="s">
        <v>764</v>
      </c>
      <c r="B1601" t="str">
        <f>VLOOKUP(B1599,Tabelle3!$A$2:$E$33,5,FALSE)</f>
        <v>No Red</v>
      </c>
      <c r="C1601" t="s">
        <v>762</v>
      </c>
      <c r="D1601" t="str">
        <f t="shared" si="1254"/>
        <v xml:space="preserve">    "nextInstruction":  "No Red",</v>
      </c>
    </row>
    <row r="1602" spans="1:4" x14ac:dyDescent="0.55000000000000004">
      <c r="A1602" t="s">
        <v>765</v>
      </c>
      <c r="B1602" t="str">
        <f>VLOOKUP(B1599,Tabelle3!$A$2:$E$33,4,FALSE)</f>
        <v>""</v>
      </c>
      <c r="D1602" t="str">
        <f t="shared" ref="D1602:D1665" si="1305">IF(ISNUMBER(B1602),(A1602&amp;B1602),"")</f>
        <v/>
      </c>
    </row>
    <row r="1603" spans="1:4" x14ac:dyDescent="0.55000000000000004">
      <c r="A1603" t="s">
        <v>6</v>
      </c>
      <c r="D1603" t="str">
        <f t="shared" ref="D1603:D1666" si="1306">A1603</f>
        <v xml:space="preserve">  },</v>
      </c>
    </row>
    <row r="1604" spans="1:4" x14ac:dyDescent="0.55000000000000004">
      <c r="A1604" t="s">
        <v>273</v>
      </c>
      <c r="D1604" t="str">
        <f t="shared" si="1306"/>
        <v xml:space="preserve">  "22-30": {</v>
      </c>
    </row>
    <row r="1605" spans="1:4" x14ac:dyDescent="0.55000000000000004">
      <c r="A1605" t="s">
        <v>274</v>
      </c>
      <c r="B1605">
        <f t="shared" ref="B1605" si="1307">_xlfn.NUMBERVALUE(RIGHT(A1605,2))</f>
        <v>27</v>
      </c>
      <c r="D1605" t="str">
        <f t="shared" ref="D1605:D1668" si="1308">A1605&amp;","</f>
        <v xml:space="preserve">    "resultPage": 27,</v>
      </c>
    </row>
    <row r="1606" spans="1:4" x14ac:dyDescent="0.55000000000000004">
      <c r="A1606" t="s">
        <v>763</v>
      </c>
      <c r="B1606" t="str">
        <f>VLOOKUP(B1605,Tabelle3!$A$2:$E$33,3,FALSE)</f>
        <v>Weapon Dislodged</v>
      </c>
      <c r="C1606" t="s">
        <v>762</v>
      </c>
      <c r="D1606" t="str">
        <f t="shared" ref="D1606:D1667" si="1309">_xlfn.CONCAT(A1606:C1606)</f>
        <v xml:space="preserve">    "message":  "Weapon Dislodged",</v>
      </c>
    </row>
    <row r="1607" spans="1:4" x14ac:dyDescent="0.55000000000000004">
      <c r="A1607" t="s">
        <v>764</v>
      </c>
      <c r="B1607" t="str">
        <f>VLOOKUP(B1605,Tabelle3!$A$2:$E$33,5,FALSE)</f>
        <v>Only Green Only Yellow Only Kicks Except Wildswings Until Weapon has been retrieved</v>
      </c>
      <c r="C1607" t="s">
        <v>762</v>
      </c>
      <c r="D1607" t="str">
        <f t="shared" si="1309"/>
        <v xml:space="preserve">    "nextInstruction":  "Only Green Only Yellow Only Kicks Except Wildswings Until Weapon has been retrieved",</v>
      </c>
    </row>
    <row r="1608" spans="1:4" x14ac:dyDescent="0.55000000000000004">
      <c r="A1608" t="s">
        <v>765</v>
      </c>
      <c r="B1608" t="str">
        <f>VLOOKUP(B1605,Tabelle3!$A$2:$E$33,4,FALSE)</f>
        <v>""</v>
      </c>
      <c r="D1608" t="str">
        <f t="shared" ref="D1608:D1671" si="1310">IF(ISNUMBER(B1608),(A1608&amp;B1608),"")</f>
        <v/>
      </c>
    </row>
    <row r="1609" spans="1:4" x14ac:dyDescent="0.55000000000000004">
      <c r="A1609" t="s">
        <v>6</v>
      </c>
      <c r="D1609" t="str">
        <f t="shared" ref="D1609:D1672" si="1311">A1609</f>
        <v xml:space="preserve">  },</v>
      </c>
    </row>
    <row r="1610" spans="1:4" x14ac:dyDescent="0.55000000000000004">
      <c r="A1610" t="s">
        <v>275</v>
      </c>
      <c r="D1610" t="str">
        <f t="shared" si="1311"/>
        <v xml:space="preserve">  "22-32": {</v>
      </c>
    </row>
    <row r="1611" spans="1:4" x14ac:dyDescent="0.55000000000000004">
      <c r="A1611" t="s">
        <v>80</v>
      </c>
      <c r="B1611">
        <f t="shared" ref="B1611" si="1312">_xlfn.NUMBERVALUE(RIGHT(A1611,2))</f>
        <v>11</v>
      </c>
      <c r="D1611" t="str">
        <f t="shared" ref="D1611:D1674" si="1313">A1611&amp;","</f>
        <v xml:space="preserve">    "resultPage": 11,</v>
      </c>
    </row>
    <row r="1612" spans="1:4" x14ac:dyDescent="0.55000000000000004">
      <c r="A1612" t="s">
        <v>763</v>
      </c>
      <c r="B1612" t="str">
        <f>VLOOKUP(B1611,Tabelle3!$A$2:$E$33,3,FALSE)</f>
        <v>Thrusting Low</v>
      </c>
      <c r="C1612" t="s">
        <v>762</v>
      </c>
      <c r="D1612" t="str">
        <f t="shared" ref="D1612" si="1314">_xlfn.CONCAT(A1612:C1612)</f>
        <v xml:space="preserve">    "message":  "Thrusting Low",</v>
      </c>
    </row>
    <row r="1613" spans="1:4" x14ac:dyDescent="0.55000000000000004">
      <c r="A1613" t="s">
        <v>764</v>
      </c>
      <c r="B1613" t="str">
        <f>VLOOKUP(B1611,Tabelle3!$A$2:$E$33,5,FALSE)</f>
        <v>No Red</v>
      </c>
      <c r="C1613" t="s">
        <v>762</v>
      </c>
      <c r="D1613" t="str">
        <f t="shared" si="1309"/>
        <v xml:space="preserve">    "nextInstruction":  "No Red",</v>
      </c>
    </row>
    <row r="1614" spans="1:4" x14ac:dyDescent="0.55000000000000004">
      <c r="A1614" t="s">
        <v>765</v>
      </c>
      <c r="B1614" t="str">
        <f>VLOOKUP(B1611,Tabelle3!$A$2:$E$33,4,FALSE)</f>
        <v>""</v>
      </c>
      <c r="D1614" t="str">
        <f t="shared" ref="D1614:D1677" si="1315">IF(ISNUMBER(B1614),(A1614&amp;B1614),"")</f>
        <v/>
      </c>
    </row>
    <row r="1615" spans="1:4" x14ac:dyDescent="0.55000000000000004">
      <c r="A1615" t="s">
        <v>6</v>
      </c>
      <c r="D1615" t="str">
        <f t="shared" ref="D1615:D1678" si="1316">A1615</f>
        <v xml:space="preserve">  },</v>
      </c>
    </row>
    <row r="1616" spans="1:4" x14ac:dyDescent="0.55000000000000004">
      <c r="A1616" t="s">
        <v>276</v>
      </c>
      <c r="D1616" t="str">
        <f t="shared" si="1316"/>
        <v xml:space="preserve">  "22-34": {</v>
      </c>
    </row>
    <row r="1617" spans="1:4" x14ac:dyDescent="0.55000000000000004">
      <c r="A1617" t="s">
        <v>133</v>
      </c>
      <c r="B1617">
        <f t="shared" ref="B1617" si="1317">_xlfn.NUMBERVALUE(RIGHT(A1617,2))</f>
        <v>51</v>
      </c>
      <c r="D1617" t="str">
        <f t="shared" ref="D1617:D1680" si="1318">A1617&amp;","</f>
        <v xml:space="preserve">    "resultPage": 51,</v>
      </c>
    </row>
    <row r="1618" spans="1:4" x14ac:dyDescent="0.55000000000000004">
      <c r="A1618" t="s">
        <v>763</v>
      </c>
      <c r="B1618" t="str">
        <f>VLOOKUP(B1617,Tabelle3!$A$2:$E$33,3,FALSE)</f>
        <v>Kicked Off Balance</v>
      </c>
      <c r="C1618" t="s">
        <v>762</v>
      </c>
      <c r="D1618" t="str">
        <f t="shared" ref="D1618" si="1319">_xlfn.CONCAT(A1618:C1618)</f>
        <v xml:space="preserve">    "message":  "Kicked Off Balance",</v>
      </c>
    </row>
    <row r="1619" spans="1:4" x14ac:dyDescent="0.55000000000000004">
      <c r="A1619" t="s">
        <v>764</v>
      </c>
      <c r="B1619" t="str">
        <f>VLOOKUP(B1617,Tabelle3!$A$2:$E$33,5,FALSE)</f>
        <v>Only Green Only Yellow</v>
      </c>
      <c r="C1619" t="s">
        <v>762</v>
      </c>
      <c r="D1619" t="str">
        <f t="shared" si="1309"/>
        <v xml:space="preserve">    "nextInstruction":  "Only Green Only Yellow",</v>
      </c>
    </row>
    <row r="1620" spans="1:4" x14ac:dyDescent="0.55000000000000004">
      <c r="A1620" t="s">
        <v>765</v>
      </c>
      <c r="B1620">
        <f>VLOOKUP(B1617,Tabelle3!$A$2:$E$33,4,FALSE)</f>
        <v>0</v>
      </c>
      <c r="D1620" t="str">
        <f t="shared" ref="D1620:D1683" si="1320">IF(ISNUMBER(B1620),(A1620&amp;B1620),"")</f>
        <v xml:space="preserve">    "damageModifier": 0</v>
      </c>
    </row>
    <row r="1621" spans="1:4" x14ac:dyDescent="0.55000000000000004">
      <c r="A1621" t="s">
        <v>6</v>
      </c>
      <c r="D1621" t="str">
        <f t="shared" ref="D1621:D1684" si="1321">A1621</f>
        <v xml:space="preserve">  },</v>
      </c>
    </row>
    <row r="1622" spans="1:4" x14ac:dyDescent="0.55000000000000004">
      <c r="A1622" t="s">
        <v>277</v>
      </c>
      <c r="D1622" t="str">
        <f t="shared" si="1321"/>
        <v xml:space="preserve">  "22-36": {</v>
      </c>
    </row>
    <row r="1623" spans="1:4" x14ac:dyDescent="0.55000000000000004">
      <c r="A1623" t="s">
        <v>80</v>
      </c>
      <c r="B1623">
        <f t="shared" ref="B1623" si="1322">_xlfn.NUMBERVALUE(RIGHT(A1623,2))</f>
        <v>11</v>
      </c>
      <c r="D1623" t="str">
        <f t="shared" ref="D1623:D1686" si="1323">A1623&amp;","</f>
        <v xml:space="preserve">    "resultPage": 11,</v>
      </c>
    </row>
    <row r="1624" spans="1:4" x14ac:dyDescent="0.55000000000000004">
      <c r="A1624" t="s">
        <v>763</v>
      </c>
      <c r="B1624" t="str">
        <f>VLOOKUP(B1623,Tabelle3!$A$2:$E$33,3,FALSE)</f>
        <v>Thrusting Low</v>
      </c>
      <c r="C1624" t="s">
        <v>762</v>
      </c>
      <c r="D1624" t="str">
        <f t="shared" ref="D1624" si="1324">_xlfn.CONCAT(A1624:C1624)</f>
        <v xml:space="preserve">    "message":  "Thrusting Low",</v>
      </c>
    </row>
    <row r="1625" spans="1:4" x14ac:dyDescent="0.55000000000000004">
      <c r="A1625" t="s">
        <v>764</v>
      </c>
      <c r="B1625" t="str">
        <f>VLOOKUP(B1623,Tabelle3!$A$2:$E$33,5,FALSE)</f>
        <v>No Red</v>
      </c>
      <c r="C1625" t="s">
        <v>762</v>
      </c>
      <c r="D1625" t="str">
        <f t="shared" si="1309"/>
        <v xml:space="preserve">    "nextInstruction":  "No Red",</v>
      </c>
    </row>
    <row r="1626" spans="1:4" x14ac:dyDescent="0.55000000000000004">
      <c r="A1626" t="s">
        <v>765</v>
      </c>
      <c r="B1626" t="str">
        <f>VLOOKUP(B1623,Tabelle3!$A$2:$E$33,4,FALSE)</f>
        <v>""</v>
      </c>
      <c r="D1626" t="str">
        <f t="shared" ref="D1626:D1689" si="1325">IF(ISNUMBER(B1626),(A1626&amp;B1626),"")</f>
        <v/>
      </c>
    </row>
    <row r="1627" spans="1:4" x14ac:dyDescent="0.55000000000000004">
      <c r="A1627" t="s">
        <v>6</v>
      </c>
      <c r="D1627" t="str">
        <f t="shared" ref="D1627:D1690" si="1326">A1627</f>
        <v xml:space="preserve">  },</v>
      </c>
    </row>
    <row r="1628" spans="1:4" x14ac:dyDescent="0.55000000000000004">
      <c r="A1628" t="s">
        <v>278</v>
      </c>
      <c r="D1628" t="str">
        <f t="shared" si="1326"/>
        <v xml:space="preserve">  "22-38": {</v>
      </c>
    </row>
    <row r="1629" spans="1:4" x14ac:dyDescent="0.55000000000000004">
      <c r="A1629" t="s">
        <v>65</v>
      </c>
      <c r="B1629">
        <f t="shared" ref="B1629" si="1327">_xlfn.NUMBERVALUE(RIGHT(A1629,2))</f>
        <v>9</v>
      </c>
      <c r="D1629" t="str">
        <f t="shared" ref="D1629:D1692" si="1328">A1629&amp;","</f>
        <v xml:space="preserve">    "resultPage": 9,</v>
      </c>
    </row>
    <row r="1630" spans="1:4" x14ac:dyDescent="0.55000000000000004">
      <c r="A1630" t="s">
        <v>763</v>
      </c>
      <c r="B1630" t="str">
        <f>VLOOKUP(B1629,Tabelle3!$A$2:$E$33,3,FALSE)</f>
        <v>Thrusting High</v>
      </c>
      <c r="C1630" t="s">
        <v>762</v>
      </c>
      <c r="D1630" t="str">
        <f t="shared" ref="D1630" si="1329">_xlfn.CONCAT(A1630:C1630)</f>
        <v xml:space="preserve">    "message":  "Thrusting High",</v>
      </c>
    </row>
    <row r="1631" spans="1:4" x14ac:dyDescent="0.55000000000000004">
      <c r="A1631" t="s">
        <v>764</v>
      </c>
      <c r="B1631" t="str">
        <f>VLOOKUP(B1629,Tabelle3!$A$2:$E$33,5,FALSE)</f>
        <v/>
      </c>
      <c r="C1631" t="s">
        <v>762</v>
      </c>
      <c r="D1631" t="str">
        <f t="shared" si="1309"/>
        <v xml:space="preserve">    "nextInstruction":  "",</v>
      </c>
    </row>
    <row r="1632" spans="1:4" x14ac:dyDescent="0.55000000000000004">
      <c r="A1632" t="s">
        <v>765</v>
      </c>
      <c r="B1632" t="str">
        <f>VLOOKUP(B1629,Tabelle3!$A$2:$E$33,4,FALSE)</f>
        <v>""</v>
      </c>
      <c r="D1632" t="str">
        <f t="shared" ref="D1632:D1695" si="1330">IF(ISNUMBER(B1632),(A1632&amp;B1632),"")</f>
        <v/>
      </c>
    </row>
    <row r="1633" spans="1:4" x14ac:dyDescent="0.55000000000000004">
      <c r="A1633" t="s">
        <v>6</v>
      </c>
      <c r="D1633" t="str">
        <f t="shared" ref="D1633:D1696" si="1331">A1633</f>
        <v xml:space="preserve">  },</v>
      </c>
    </row>
    <row r="1634" spans="1:4" x14ac:dyDescent="0.55000000000000004">
      <c r="A1634" t="s">
        <v>279</v>
      </c>
      <c r="D1634" t="str">
        <f t="shared" si="1331"/>
        <v xml:space="preserve">  "22-40": {</v>
      </c>
    </row>
    <row r="1635" spans="1:4" x14ac:dyDescent="0.55000000000000004">
      <c r="A1635" t="s">
        <v>138</v>
      </c>
      <c r="B1635">
        <f t="shared" ref="B1635" si="1332">_xlfn.NUMBERVALUE(RIGHT(A1635,2))</f>
        <v>13</v>
      </c>
      <c r="D1635" t="str">
        <f t="shared" ref="D1635:D1698" si="1333">A1635&amp;","</f>
        <v xml:space="preserve">    "resultPage": 13,</v>
      </c>
    </row>
    <row r="1636" spans="1:4" x14ac:dyDescent="0.55000000000000004">
      <c r="A1636" t="s">
        <v>763</v>
      </c>
      <c r="B1636" t="str">
        <f>VLOOKUP(B1635,Tabelle3!$A$2:$E$33,3,FALSE)</f>
        <v>Leg Wound</v>
      </c>
      <c r="C1636" t="s">
        <v>762</v>
      </c>
      <c r="D1636" t="str">
        <f t="shared" ref="D1636" si="1334">_xlfn.CONCAT(A1636:C1636)</f>
        <v xml:space="preserve">    "message":  "Leg Wound",</v>
      </c>
    </row>
    <row r="1637" spans="1:4" x14ac:dyDescent="0.55000000000000004">
      <c r="A1637" t="s">
        <v>764</v>
      </c>
      <c r="B1637" t="str">
        <f>VLOOKUP(B1635,Tabelle3!$A$2:$E$33,5,FALSE)</f>
        <v>No Orange</v>
      </c>
      <c r="C1637" t="s">
        <v>762</v>
      </c>
      <c r="D1637" t="str">
        <f t="shared" si="1309"/>
        <v xml:space="preserve">    "nextInstruction":  "No Orange",</v>
      </c>
    </row>
    <row r="1638" spans="1:4" x14ac:dyDescent="0.55000000000000004">
      <c r="A1638" t="s">
        <v>765</v>
      </c>
      <c r="B1638">
        <f>VLOOKUP(B1635,Tabelle3!$A$2:$E$33,4,FALSE)</f>
        <v>4</v>
      </c>
      <c r="D1638" t="str">
        <f t="shared" ref="D1638:D1701" si="1335">IF(ISNUMBER(B1638),(A1638&amp;B1638),"")</f>
        <v xml:space="preserve">    "damageModifier": 4</v>
      </c>
    </row>
    <row r="1639" spans="1:4" x14ac:dyDescent="0.55000000000000004">
      <c r="A1639" t="s">
        <v>6</v>
      </c>
      <c r="D1639" t="str">
        <f t="shared" ref="D1639:D1702" si="1336">A1639</f>
        <v xml:space="preserve">  },</v>
      </c>
    </row>
    <row r="1640" spans="1:4" x14ac:dyDescent="0.55000000000000004">
      <c r="A1640" t="s">
        <v>280</v>
      </c>
      <c r="D1640" t="str">
        <f t="shared" si="1336"/>
        <v xml:space="preserve">  "22-42": {</v>
      </c>
    </row>
    <row r="1641" spans="1:4" x14ac:dyDescent="0.55000000000000004">
      <c r="A1641" t="s">
        <v>13</v>
      </c>
      <c r="B1641">
        <f t="shared" ref="B1641" si="1337">_xlfn.NUMBERVALUE(RIGHT(A1641,2))</f>
        <v>49</v>
      </c>
      <c r="D1641" t="str">
        <f t="shared" ref="D1641:D1704" si="1338">A1641&amp;","</f>
        <v xml:space="preserve">    "resultPage": 49,</v>
      </c>
    </row>
    <row r="1642" spans="1:4" x14ac:dyDescent="0.55000000000000004">
      <c r="A1642" t="s">
        <v>763</v>
      </c>
      <c r="B1642" t="str">
        <f>VLOOKUP(B1641,Tabelle3!$A$2:$E$33,3,FALSE)</f>
        <v>Parrying Low</v>
      </c>
      <c r="C1642" t="s">
        <v>762</v>
      </c>
      <c r="D1642" t="str">
        <f t="shared" ref="D1642" si="1339">_xlfn.CONCAT(A1642:C1642)</f>
        <v xml:space="preserve">    "message":  "Parrying Low",</v>
      </c>
    </row>
    <row r="1643" spans="1:4" x14ac:dyDescent="0.55000000000000004">
      <c r="A1643" t="s">
        <v>764</v>
      </c>
      <c r="B1643" t="str">
        <f>VLOOKUP(B1641,Tabelle3!$A$2:$E$33,5,FALSE)</f>
        <v/>
      </c>
      <c r="C1643" t="s">
        <v>762</v>
      </c>
      <c r="D1643" t="str">
        <f t="shared" si="1309"/>
        <v xml:space="preserve">    "nextInstruction":  "",</v>
      </c>
    </row>
    <row r="1644" spans="1:4" x14ac:dyDescent="0.55000000000000004">
      <c r="A1644" t="s">
        <v>765</v>
      </c>
      <c r="B1644">
        <f>VLOOKUP(B1641,Tabelle3!$A$2:$E$33,4,FALSE)</f>
        <v>-4</v>
      </c>
      <c r="D1644" t="str">
        <f t="shared" ref="D1644:D1707" si="1340">IF(ISNUMBER(B1644),(A1644&amp;B1644),"")</f>
        <v xml:space="preserve">    "damageModifier": -4</v>
      </c>
    </row>
    <row r="1645" spans="1:4" x14ac:dyDescent="0.55000000000000004">
      <c r="A1645" t="s">
        <v>6</v>
      </c>
      <c r="D1645" t="str">
        <f t="shared" ref="D1645:D1708" si="1341">A1645</f>
        <v xml:space="preserve">  },</v>
      </c>
    </row>
    <row r="1646" spans="1:4" x14ac:dyDescent="0.55000000000000004">
      <c r="A1646" t="s">
        <v>281</v>
      </c>
      <c r="D1646" t="str">
        <f t="shared" si="1341"/>
        <v xml:space="preserve">  "22-44": {</v>
      </c>
    </row>
    <row r="1647" spans="1:4" x14ac:dyDescent="0.55000000000000004">
      <c r="A1647" t="s">
        <v>58</v>
      </c>
      <c r="B1647">
        <f t="shared" ref="B1647" si="1342">_xlfn.NUMBERVALUE(RIGHT(A1647,2))</f>
        <v>19</v>
      </c>
      <c r="D1647" t="str">
        <f t="shared" ref="D1647:D1710" si="1343">A1647&amp;","</f>
        <v xml:space="preserve">    "resultPage": 19,</v>
      </c>
    </row>
    <row r="1648" spans="1:4" x14ac:dyDescent="0.55000000000000004">
      <c r="A1648" t="s">
        <v>763</v>
      </c>
      <c r="B1648" t="str">
        <f>VLOOKUP(B1647,Tabelle3!$A$2:$E$33,3,FALSE)</f>
        <v>Struck off Balance</v>
      </c>
      <c r="C1648" t="s">
        <v>762</v>
      </c>
      <c r="D1648" t="str">
        <f t="shared" ref="D1648" si="1344">_xlfn.CONCAT(A1648:C1648)</f>
        <v xml:space="preserve">    "message":  "Struck off Balance",</v>
      </c>
    </row>
    <row r="1649" spans="1:4" x14ac:dyDescent="0.55000000000000004">
      <c r="A1649" t="s">
        <v>764</v>
      </c>
      <c r="B1649" t="str">
        <f>VLOOKUP(B1647,Tabelle3!$A$2:$E$33,5,FALSE)</f>
        <v>Only Green Only Yellow</v>
      </c>
      <c r="C1649" t="s">
        <v>762</v>
      </c>
      <c r="D1649" t="str">
        <f t="shared" si="1309"/>
        <v xml:space="preserve">    "nextInstruction":  "Only Green Only Yellow",</v>
      </c>
    </row>
    <row r="1650" spans="1:4" x14ac:dyDescent="0.55000000000000004">
      <c r="A1650" t="s">
        <v>765</v>
      </c>
      <c r="B1650">
        <f>VLOOKUP(B1647,Tabelle3!$A$2:$E$33,4,FALSE)</f>
        <v>0</v>
      </c>
      <c r="D1650" t="str">
        <f t="shared" ref="D1650:D1713" si="1345">IF(ISNUMBER(B1650),(A1650&amp;B1650),"")</f>
        <v xml:space="preserve">    "damageModifier": 0</v>
      </c>
    </row>
    <row r="1651" spans="1:4" x14ac:dyDescent="0.55000000000000004">
      <c r="A1651" t="s">
        <v>6</v>
      </c>
      <c r="D1651" t="str">
        <f t="shared" ref="D1651:D1714" si="1346">A1651</f>
        <v xml:space="preserve">  },</v>
      </c>
    </row>
    <row r="1652" spans="1:4" x14ac:dyDescent="0.55000000000000004">
      <c r="A1652" t="s">
        <v>282</v>
      </c>
      <c r="D1652" t="str">
        <f t="shared" si="1346"/>
        <v xml:space="preserve">  "22-46": {</v>
      </c>
    </row>
    <row r="1653" spans="1:4" x14ac:dyDescent="0.55000000000000004">
      <c r="A1653" t="s">
        <v>80</v>
      </c>
      <c r="B1653">
        <f t="shared" ref="B1653" si="1347">_xlfn.NUMBERVALUE(RIGHT(A1653,2))</f>
        <v>11</v>
      </c>
      <c r="D1653" t="str">
        <f t="shared" ref="D1653:D1716" si="1348">A1653&amp;","</f>
        <v xml:space="preserve">    "resultPage": 11,</v>
      </c>
    </row>
    <row r="1654" spans="1:4" x14ac:dyDescent="0.55000000000000004">
      <c r="A1654" t="s">
        <v>763</v>
      </c>
      <c r="B1654" t="str">
        <f>VLOOKUP(B1653,Tabelle3!$A$2:$E$33,3,FALSE)</f>
        <v>Thrusting Low</v>
      </c>
      <c r="C1654" t="s">
        <v>762</v>
      </c>
      <c r="D1654" t="str">
        <f t="shared" ref="D1654" si="1349">_xlfn.CONCAT(A1654:C1654)</f>
        <v xml:space="preserve">    "message":  "Thrusting Low",</v>
      </c>
    </row>
    <row r="1655" spans="1:4" x14ac:dyDescent="0.55000000000000004">
      <c r="A1655" t="s">
        <v>764</v>
      </c>
      <c r="B1655" t="str">
        <f>VLOOKUP(B1653,Tabelle3!$A$2:$E$33,5,FALSE)</f>
        <v>No Red</v>
      </c>
      <c r="C1655" t="s">
        <v>762</v>
      </c>
      <c r="D1655" t="str">
        <f t="shared" si="1309"/>
        <v xml:space="preserve">    "nextInstruction":  "No Red",</v>
      </c>
    </row>
    <row r="1656" spans="1:4" x14ac:dyDescent="0.55000000000000004">
      <c r="A1656" t="s">
        <v>765</v>
      </c>
      <c r="B1656" t="str">
        <f>VLOOKUP(B1653,Tabelle3!$A$2:$E$33,4,FALSE)</f>
        <v>""</v>
      </c>
      <c r="D1656" t="str">
        <f t="shared" ref="D1656:D1719" si="1350">IF(ISNUMBER(B1656),(A1656&amp;B1656),"")</f>
        <v/>
      </c>
    </row>
    <row r="1657" spans="1:4" x14ac:dyDescent="0.55000000000000004">
      <c r="A1657" t="s">
        <v>6</v>
      </c>
      <c r="D1657" t="str">
        <f t="shared" ref="D1657:D1720" si="1351">A1657</f>
        <v xml:space="preserve">  },</v>
      </c>
    </row>
    <row r="1658" spans="1:4" x14ac:dyDescent="0.55000000000000004">
      <c r="A1658" t="s">
        <v>283</v>
      </c>
      <c r="D1658" t="str">
        <f t="shared" si="1351"/>
        <v xml:space="preserve">  "22-48": {</v>
      </c>
    </row>
    <row r="1659" spans="1:4" x14ac:dyDescent="0.55000000000000004">
      <c r="A1659" t="s">
        <v>13</v>
      </c>
      <c r="B1659">
        <f t="shared" ref="B1659" si="1352">_xlfn.NUMBERVALUE(RIGHT(A1659,2))</f>
        <v>49</v>
      </c>
      <c r="D1659" t="str">
        <f t="shared" ref="D1659:D1722" si="1353">A1659&amp;","</f>
        <v xml:space="preserve">    "resultPage": 49,</v>
      </c>
    </row>
    <row r="1660" spans="1:4" x14ac:dyDescent="0.55000000000000004">
      <c r="A1660" t="s">
        <v>763</v>
      </c>
      <c r="B1660" t="str">
        <f>VLOOKUP(B1659,Tabelle3!$A$2:$E$33,3,FALSE)</f>
        <v>Parrying Low</v>
      </c>
      <c r="C1660" t="s">
        <v>762</v>
      </c>
      <c r="D1660" t="str">
        <f t="shared" ref="D1660" si="1354">_xlfn.CONCAT(A1660:C1660)</f>
        <v xml:space="preserve">    "message":  "Parrying Low",</v>
      </c>
    </row>
    <row r="1661" spans="1:4" x14ac:dyDescent="0.55000000000000004">
      <c r="A1661" t="s">
        <v>764</v>
      </c>
      <c r="B1661" t="str">
        <f>VLOOKUP(B1659,Tabelle3!$A$2:$E$33,5,FALSE)</f>
        <v/>
      </c>
      <c r="C1661" t="s">
        <v>762</v>
      </c>
      <c r="D1661" t="str">
        <f t="shared" si="1309"/>
        <v xml:space="preserve">    "nextInstruction":  "",</v>
      </c>
    </row>
    <row r="1662" spans="1:4" x14ac:dyDescent="0.55000000000000004">
      <c r="A1662" t="s">
        <v>765</v>
      </c>
      <c r="B1662">
        <f>VLOOKUP(B1659,Tabelle3!$A$2:$E$33,4,FALSE)</f>
        <v>-4</v>
      </c>
      <c r="D1662" t="str">
        <f t="shared" ref="D1662:D1725" si="1355">IF(ISNUMBER(B1662),(A1662&amp;B1662),"")</f>
        <v xml:space="preserve">    "damageModifier": -4</v>
      </c>
    </row>
    <row r="1663" spans="1:4" x14ac:dyDescent="0.55000000000000004">
      <c r="A1663" t="s">
        <v>6</v>
      </c>
      <c r="D1663" t="str">
        <f t="shared" ref="D1663:D1726" si="1356">A1663</f>
        <v xml:space="preserve">  },</v>
      </c>
    </row>
    <row r="1664" spans="1:4" x14ac:dyDescent="0.55000000000000004">
      <c r="A1664" t="s">
        <v>284</v>
      </c>
      <c r="D1664" t="str">
        <f t="shared" si="1356"/>
        <v xml:space="preserve">  "24-4": {</v>
      </c>
    </row>
    <row r="1665" spans="1:4" x14ac:dyDescent="0.55000000000000004">
      <c r="A1665" t="s">
        <v>285</v>
      </c>
      <c r="B1665">
        <f t="shared" ref="B1665" si="1357">_xlfn.NUMBERVALUE(RIGHT(A1665,2))</f>
        <v>15</v>
      </c>
      <c r="D1665" t="str">
        <f t="shared" ref="D1665:D1728" si="1358">A1665&amp;","</f>
        <v xml:space="preserve">    "resultPage": 15,</v>
      </c>
    </row>
    <row r="1666" spans="1:4" x14ac:dyDescent="0.55000000000000004">
      <c r="A1666" t="s">
        <v>763</v>
      </c>
      <c r="B1666" t="str">
        <f>VLOOKUP(B1665,Tabelle3!$A$2:$E$33,3,FALSE)</f>
        <v>Swinging Down</v>
      </c>
      <c r="C1666" t="s">
        <v>762</v>
      </c>
      <c r="D1666" t="str">
        <f t="shared" ref="D1666" si="1359">_xlfn.CONCAT(A1666:C1666)</f>
        <v xml:space="preserve">    "message":  "Swinging Down",</v>
      </c>
    </row>
    <row r="1667" spans="1:4" x14ac:dyDescent="0.55000000000000004">
      <c r="A1667" t="s">
        <v>764</v>
      </c>
      <c r="B1667" t="str">
        <f>VLOOKUP(B1665,Tabelle3!$A$2:$E$33,5,FALSE)</f>
        <v/>
      </c>
      <c r="C1667" t="s">
        <v>762</v>
      </c>
      <c r="D1667" t="str">
        <f t="shared" si="1309"/>
        <v xml:space="preserve">    "nextInstruction":  "",</v>
      </c>
    </row>
    <row r="1668" spans="1:4" x14ac:dyDescent="0.55000000000000004">
      <c r="A1668" t="s">
        <v>765</v>
      </c>
      <c r="B1668" t="str">
        <f>VLOOKUP(B1665,Tabelle3!$A$2:$E$33,4,FALSE)</f>
        <v>""</v>
      </c>
      <c r="D1668" t="str">
        <f t="shared" ref="D1668:D1731" si="1360">IF(ISNUMBER(B1668),(A1668&amp;B1668),"")</f>
        <v/>
      </c>
    </row>
    <row r="1669" spans="1:4" x14ac:dyDescent="0.55000000000000004">
      <c r="A1669" t="s">
        <v>6</v>
      </c>
      <c r="D1669" t="str">
        <f t="shared" ref="D1669:D1732" si="1361">A1669</f>
        <v xml:space="preserve">  },</v>
      </c>
    </row>
    <row r="1670" spans="1:4" x14ac:dyDescent="0.55000000000000004">
      <c r="A1670" t="s">
        <v>286</v>
      </c>
      <c r="D1670" t="str">
        <f t="shared" si="1361"/>
        <v xml:space="preserve">  "24-6": {</v>
      </c>
    </row>
    <row r="1671" spans="1:4" x14ac:dyDescent="0.55000000000000004">
      <c r="A1671" t="s">
        <v>285</v>
      </c>
      <c r="B1671">
        <f t="shared" ref="B1671" si="1362">_xlfn.NUMBERVALUE(RIGHT(A1671,2))</f>
        <v>15</v>
      </c>
      <c r="D1671" t="str">
        <f t="shared" ref="D1671:D1734" si="1363">A1671&amp;","</f>
        <v xml:space="preserve">    "resultPage": 15,</v>
      </c>
    </row>
    <row r="1672" spans="1:4" x14ac:dyDescent="0.55000000000000004">
      <c r="A1672" t="s">
        <v>763</v>
      </c>
      <c r="B1672" t="str">
        <f>VLOOKUP(B1671,Tabelle3!$A$2:$E$33,3,FALSE)</f>
        <v>Swinging Down</v>
      </c>
      <c r="C1672" t="s">
        <v>762</v>
      </c>
      <c r="D1672" t="str">
        <f t="shared" ref="D1672:D1733" si="1364">_xlfn.CONCAT(A1672:C1672)</f>
        <v xml:space="preserve">    "message":  "Swinging Down",</v>
      </c>
    </row>
    <row r="1673" spans="1:4" x14ac:dyDescent="0.55000000000000004">
      <c r="A1673" t="s">
        <v>764</v>
      </c>
      <c r="B1673" t="str">
        <f>VLOOKUP(B1671,Tabelle3!$A$2:$E$33,5,FALSE)</f>
        <v/>
      </c>
      <c r="C1673" t="s">
        <v>762</v>
      </c>
      <c r="D1673" t="str">
        <f t="shared" si="1364"/>
        <v xml:space="preserve">    "nextInstruction":  "",</v>
      </c>
    </row>
    <row r="1674" spans="1:4" x14ac:dyDescent="0.55000000000000004">
      <c r="A1674" t="s">
        <v>765</v>
      </c>
      <c r="B1674" t="str">
        <f>VLOOKUP(B1671,Tabelle3!$A$2:$E$33,4,FALSE)</f>
        <v>""</v>
      </c>
      <c r="D1674" t="str">
        <f t="shared" ref="D1674:D1737" si="1365">IF(ISNUMBER(B1674),(A1674&amp;B1674),"")</f>
        <v/>
      </c>
    </row>
    <row r="1675" spans="1:4" x14ac:dyDescent="0.55000000000000004">
      <c r="A1675" t="s">
        <v>6</v>
      </c>
      <c r="D1675" t="str">
        <f t="shared" ref="D1675:D1738" si="1366">A1675</f>
        <v xml:space="preserve">  },</v>
      </c>
    </row>
    <row r="1676" spans="1:4" x14ac:dyDescent="0.55000000000000004">
      <c r="A1676" t="s">
        <v>287</v>
      </c>
      <c r="D1676" t="str">
        <f t="shared" si="1366"/>
        <v xml:space="preserve">  "24-8": {</v>
      </c>
    </row>
    <row r="1677" spans="1:4" x14ac:dyDescent="0.55000000000000004">
      <c r="A1677" t="s">
        <v>285</v>
      </c>
      <c r="B1677">
        <f t="shared" ref="B1677" si="1367">_xlfn.NUMBERVALUE(RIGHT(A1677,2))</f>
        <v>15</v>
      </c>
      <c r="D1677" t="str">
        <f t="shared" ref="D1677:D1740" si="1368">A1677&amp;","</f>
        <v xml:space="preserve">    "resultPage": 15,</v>
      </c>
    </row>
    <row r="1678" spans="1:4" x14ac:dyDescent="0.55000000000000004">
      <c r="A1678" t="s">
        <v>763</v>
      </c>
      <c r="B1678" t="str">
        <f>VLOOKUP(B1677,Tabelle3!$A$2:$E$33,3,FALSE)</f>
        <v>Swinging Down</v>
      </c>
      <c r="C1678" t="s">
        <v>762</v>
      </c>
      <c r="D1678" t="str">
        <f t="shared" ref="D1678" si="1369">_xlfn.CONCAT(A1678:C1678)</f>
        <v xml:space="preserve">    "message":  "Swinging Down",</v>
      </c>
    </row>
    <row r="1679" spans="1:4" x14ac:dyDescent="0.55000000000000004">
      <c r="A1679" t="s">
        <v>764</v>
      </c>
      <c r="B1679" t="str">
        <f>VLOOKUP(B1677,Tabelle3!$A$2:$E$33,5,FALSE)</f>
        <v/>
      </c>
      <c r="C1679" t="s">
        <v>762</v>
      </c>
      <c r="D1679" t="str">
        <f t="shared" si="1364"/>
        <v xml:space="preserve">    "nextInstruction":  "",</v>
      </c>
    </row>
    <row r="1680" spans="1:4" x14ac:dyDescent="0.55000000000000004">
      <c r="A1680" t="s">
        <v>765</v>
      </c>
      <c r="B1680" t="str">
        <f>VLOOKUP(B1677,Tabelle3!$A$2:$E$33,4,FALSE)</f>
        <v>""</v>
      </c>
      <c r="D1680" t="str">
        <f t="shared" ref="D1680:D1743" si="1370">IF(ISNUMBER(B1680),(A1680&amp;B1680),"")</f>
        <v/>
      </c>
    </row>
    <row r="1681" spans="1:4" x14ac:dyDescent="0.55000000000000004">
      <c r="A1681" t="s">
        <v>6</v>
      </c>
      <c r="D1681" t="str">
        <f t="shared" ref="D1681:D1744" si="1371">A1681</f>
        <v xml:space="preserve">  },</v>
      </c>
    </row>
    <row r="1682" spans="1:4" x14ac:dyDescent="0.55000000000000004">
      <c r="A1682" t="s">
        <v>288</v>
      </c>
      <c r="D1682" t="str">
        <f t="shared" si="1371"/>
        <v xml:space="preserve">  "24-10": {</v>
      </c>
    </row>
    <row r="1683" spans="1:4" x14ac:dyDescent="0.55000000000000004">
      <c r="A1683" t="s">
        <v>76</v>
      </c>
      <c r="B1683">
        <f t="shared" ref="B1683" si="1372">_xlfn.NUMBERVALUE(RIGHT(A1683,2))</f>
        <v>45</v>
      </c>
      <c r="D1683" t="str">
        <f t="shared" ref="D1683:D1746" si="1373">A1683&amp;","</f>
        <v xml:space="preserve">    "resultPage": 45,</v>
      </c>
    </row>
    <row r="1684" spans="1:4" x14ac:dyDescent="0.55000000000000004">
      <c r="A1684" t="s">
        <v>763</v>
      </c>
      <c r="B1684" t="str">
        <f>VLOOKUP(B1683,Tabelle3!$A$2:$E$33,3,FALSE)</f>
        <v>Parrying High</v>
      </c>
      <c r="C1684" t="s">
        <v>762</v>
      </c>
      <c r="D1684" t="str">
        <f t="shared" ref="D1684" si="1374">_xlfn.CONCAT(A1684:C1684)</f>
        <v xml:space="preserve">    "message":  "Parrying High",</v>
      </c>
    </row>
    <row r="1685" spans="1:4" x14ac:dyDescent="0.55000000000000004">
      <c r="A1685" t="s">
        <v>764</v>
      </c>
      <c r="B1685" t="str">
        <f>VLOOKUP(B1683,Tabelle3!$A$2:$E$33,5,FALSE)</f>
        <v/>
      </c>
      <c r="C1685" t="s">
        <v>762</v>
      </c>
      <c r="D1685" t="str">
        <f t="shared" si="1364"/>
        <v xml:space="preserve">    "nextInstruction":  "",</v>
      </c>
    </row>
    <row r="1686" spans="1:4" x14ac:dyDescent="0.55000000000000004">
      <c r="A1686" t="s">
        <v>765</v>
      </c>
      <c r="B1686">
        <f>VLOOKUP(B1683,Tabelle3!$A$2:$E$33,4,FALSE)</f>
        <v>-4</v>
      </c>
      <c r="D1686" t="str">
        <f t="shared" ref="D1686:D1749" si="1375">IF(ISNUMBER(B1686),(A1686&amp;B1686),"")</f>
        <v xml:space="preserve">    "damageModifier": -4</v>
      </c>
    </row>
    <row r="1687" spans="1:4" x14ac:dyDescent="0.55000000000000004">
      <c r="A1687" t="s">
        <v>6</v>
      </c>
      <c r="D1687" t="str">
        <f t="shared" ref="D1687:D1750" si="1376">A1687</f>
        <v xml:space="preserve">  },</v>
      </c>
    </row>
    <row r="1688" spans="1:4" x14ac:dyDescent="0.55000000000000004">
      <c r="A1688" t="s">
        <v>289</v>
      </c>
      <c r="D1688" t="str">
        <f t="shared" si="1376"/>
        <v xml:space="preserve">  "24-12": {</v>
      </c>
    </row>
    <row r="1689" spans="1:4" x14ac:dyDescent="0.55000000000000004">
      <c r="A1689" t="s">
        <v>76</v>
      </c>
      <c r="B1689">
        <f t="shared" ref="B1689" si="1377">_xlfn.NUMBERVALUE(RIGHT(A1689,2))</f>
        <v>45</v>
      </c>
      <c r="D1689" t="str">
        <f t="shared" ref="D1689:D1752" si="1378">A1689&amp;","</f>
        <v xml:space="preserve">    "resultPage": 45,</v>
      </c>
    </row>
    <row r="1690" spans="1:4" x14ac:dyDescent="0.55000000000000004">
      <c r="A1690" t="s">
        <v>763</v>
      </c>
      <c r="B1690" t="str">
        <f>VLOOKUP(B1689,Tabelle3!$A$2:$E$33,3,FALSE)</f>
        <v>Parrying High</v>
      </c>
      <c r="C1690" t="s">
        <v>762</v>
      </c>
      <c r="D1690" t="str">
        <f t="shared" ref="D1690" si="1379">_xlfn.CONCAT(A1690:C1690)</f>
        <v xml:space="preserve">    "message":  "Parrying High",</v>
      </c>
    </row>
    <row r="1691" spans="1:4" x14ac:dyDescent="0.55000000000000004">
      <c r="A1691" t="s">
        <v>764</v>
      </c>
      <c r="B1691" t="str">
        <f>VLOOKUP(B1689,Tabelle3!$A$2:$E$33,5,FALSE)</f>
        <v/>
      </c>
      <c r="C1691" t="s">
        <v>762</v>
      </c>
      <c r="D1691" t="str">
        <f t="shared" si="1364"/>
        <v xml:space="preserve">    "nextInstruction":  "",</v>
      </c>
    </row>
    <row r="1692" spans="1:4" x14ac:dyDescent="0.55000000000000004">
      <c r="A1692" t="s">
        <v>765</v>
      </c>
      <c r="B1692">
        <f>VLOOKUP(B1689,Tabelle3!$A$2:$E$33,4,FALSE)</f>
        <v>-4</v>
      </c>
      <c r="D1692" t="str">
        <f t="shared" ref="D1692:D1755" si="1380">IF(ISNUMBER(B1692),(A1692&amp;B1692),"")</f>
        <v xml:space="preserve">    "damageModifier": -4</v>
      </c>
    </row>
    <row r="1693" spans="1:4" x14ac:dyDescent="0.55000000000000004">
      <c r="A1693" t="s">
        <v>6</v>
      </c>
      <c r="D1693" t="str">
        <f t="shared" ref="D1693:D1756" si="1381">A1693</f>
        <v xml:space="preserve">  },</v>
      </c>
    </row>
    <row r="1694" spans="1:4" x14ac:dyDescent="0.55000000000000004">
      <c r="A1694" t="s">
        <v>290</v>
      </c>
      <c r="D1694" t="str">
        <f t="shared" si="1381"/>
        <v xml:space="preserve">  "24-14": {</v>
      </c>
    </row>
    <row r="1695" spans="1:4" x14ac:dyDescent="0.55000000000000004">
      <c r="A1695" t="s">
        <v>285</v>
      </c>
      <c r="B1695">
        <f t="shared" ref="B1695" si="1382">_xlfn.NUMBERVALUE(RIGHT(A1695,2))</f>
        <v>15</v>
      </c>
      <c r="D1695" t="str">
        <f t="shared" ref="D1695:D1758" si="1383">A1695&amp;","</f>
        <v xml:space="preserve">    "resultPage": 15,</v>
      </c>
    </row>
    <row r="1696" spans="1:4" x14ac:dyDescent="0.55000000000000004">
      <c r="A1696" t="s">
        <v>763</v>
      </c>
      <c r="B1696" t="str">
        <f>VLOOKUP(B1695,Tabelle3!$A$2:$E$33,3,FALSE)</f>
        <v>Swinging Down</v>
      </c>
      <c r="C1696" t="s">
        <v>762</v>
      </c>
      <c r="D1696" t="str">
        <f t="shared" ref="D1696" si="1384">_xlfn.CONCAT(A1696:C1696)</f>
        <v xml:space="preserve">    "message":  "Swinging Down",</v>
      </c>
    </row>
    <row r="1697" spans="1:4" x14ac:dyDescent="0.55000000000000004">
      <c r="A1697" t="s">
        <v>764</v>
      </c>
      <c r="B1697" t="str">
        <f>VLOOKUP(B1695,Tabelle3!$A$2:$E$33,5,FALSE)</f>
        <v/>
      </c>
      <c r="C1697" t="s">
        <v>762</v>
      </c>
      <c r="D1697" t="str">
        <f t="shared" si="1364"/>
        <v xml:space="preserve">    "nextInstruction":  "",</v>
      </c>
    </row>
    <row r="1698" spans="1:4" x14ac:dyDescent="0.55000000000000004">
      <c r="A1698" t="s">
        <v>765</v>
      </c>
      <c r="B1698" t="str">
        <f>VLOOKUP(B1695,Tabelle3!$A$2:$E$33,4,FALSE)</f>
        <v>""</v>
      </c>
      <c r="D1698" t="str">
        <f t="shared" ref="D1698:D1761" si="1385">IF(ISNUMBER(B1698),(A1698&amp;B1698),"")</f>
        <v/>
      </c>
    </row>
    <row r="1699" spans="1:4" x14ac:dyDescent="0.55000000000000004">
      <c r="A1699" t="s">
        <v>6</v>
      </c>
      <c r="D1699" t="str">
        <f t="shared" ref="D1699:D1762" si="1386">A1699</f>
        <v xml:space="preserve">  },</v>
      </c>
    </row>
    <row r="1700" spans="1:4" x14ac:dyDescent="0.55000000000000004">
      <c r="A1700" t="s">
        <v>291</v>
      </c>
      <c r="D1700" t="str">
        <f t="shared" si="1386"/>
        <v xml:space="preserve">  "24-16": {</v>
      </c>
    </row>
    <row r="1701" spans="1:4" x14ac:dyDescent="0.55000000000000004">
      <c r="A1701" t="s">
        <v>58</v>
      </c>
      <c r="B1701">
        <f t="shared" ref="B1701" si="1387">_xlfn.NUMBERVALUE(RIGHT(A1701,2))</f>
        <v>19</v>
      </c>
      <c r="D1701" t="str">
        <f t="shared" ref="D1701:D1764" si="1388">A1701&amp;","</f>
        <v xml:space="preserve">    "resultPage": 19,</v>
      </c>
    </row>
    <row r="1702" spans="1:4" x14ac:dyDescent="0.55000000000000004">
      <c r="A1702" t="s">
        <v>763</v>
      </c>
      <c r="B1702" t="str">
        <f>VLOOKUP(B1701,Tabelle3!$A$2:$E$33,3,FALSE)</f>
        <v>Struck off Balance</v>
      </c>
      <c r="C1702" t="s">
        <v>762</v>
      </c>
      <c r="D1702" t="str">
        <f t="shared" ref="D1702" si="1389">_xlfn.CONCAT(A1702:C1702)</f>
        <v xml:space="preserve">    "message":  "Struck off Balance",</v>
      </c>
    </row>
    <row r="1703" spans="1:4" x14ac:dyDescent="0.55000000000000004">
      <c r="A1703" t="s">
        <v>764</v>
      </c>
      <c r="B1703" t="str">
        <f>VLOOKUP(B1701,Tabelle3!$A$2:$E$33,5,FALSE)</f>
        <v>Only Green Only Yellow</v>
      </c>
      <c r="C1703" t="s">
        <v>762</v>
      </c>
      <c r="D1703" t="str">
        <f t="shared" si="1364"/>
        <v xml:space="preserve">    "nextInstruction":  "Only Green Only Yellow",</v>
      </c>
    </row>
    <row r="1704" spans="1:4" x14ac:dyDescent="0.55000000000000004">
      <c r="A1704" t="s">
        <v>765</v>
      </c>
      <c r="B1704">
        <f>VLOOKUP(B1701,Tabelle3!$A$2:$E$33,4,FALSE)</f>
        <v>0</v>
      </c>
      <c r="D1704" t="str">
        <f t="shared" ref="D1704:D1767" si="1390">IF(ISNUMBER(B1704),(A1704&amp;B1704),"")</f>
        <v xml:space="preserve">    "damageModifier": 0</v>
      </c>
    </row>
    <row r="1705" spans="1:4" x14ac:dyDescent="0.55000000000000004">
      <c r="A1705" t="s">
        <v>6</v>
      </c>
      <c r="D1705" t="str">
        <f t="shared" ref="D1705:D1768" si="1391">A1705</f>
        <v xml:space="preserve">  },</v>
      </c>
    </row>
    <row r="1706" spans="1:4" x14ac:dyDescent="0.55000000000000004">
      <c r="A1706" t="s">
        <v>292</v>
      </c>
      <c r="D1706" t="str">
        <f t="shared" si="1391"/>
        <v xml:space="preserve">  "24-18": {</v>
      </c>
    </row>
    <row r="1707" spans="1:4" x14ac:dyDescent="0.55000000000000004">
      <c r="A1707" t="s">
        <v>285</v>
      </c>
      <c r="B1707">
        <f t="shared" ref="B1707" si="1392">_xlfn.NUMBERVALUE(RIGHT(A1707,2))</f>
        <v>15</v>
      </c>
      <c r="D1707" t="str">
        <f t="shared" ref="D1707:D1770" si="1393">A1707&amp;","</f>
        <v xml:space="preserve">    "resultPage": 15,</v>
      </c>
    </row>
    <row r="1708" spans="1:4" x14ac:dyDescent="0.55000000000000004">
      <c r="A1708" t="s">
        <v>763</v>
      </c>
      <c r="B1708" t="str">
        <f>VLOOKUP(B1707,Tabelle3!$A$2:$E$33,3,FALSE)</f>
        <v>Swinging Down</v>
      </c>
      <c r="C1708" t="s">
        <v>762</v>
      </c>
      <c r="D1708" t="str">
        <f t="shared" ref="D1708" si="1394">_xlfn.CONCAT(A1708:C1708)</f>
        <v xml:space="preserve">    "message":  "Swinging Down",</v>
      </c>
    </row>
    <row r="1709" spans="1:4" x14ac:dyDescent="0.55000000000000004">
      <c r="A1709" t="s">
        <v>764</v>
      </c>
      <c r="B1709" t="str">
        <f>VLOOKUP(B1707,Tabelle3!$A$2:$E$33,5,FALSE)</f>
        <v/>
      </c>
      <c r="C1709" t="s">
        <v>762</v>
      </c>
      <c r="D1709" t="str">
        <f t="shared" si="1364"/>
        <v xml:space="preserve">    "nextInstruction":  "",</v>
      </c>
    </row>
    <row r="1710" spans="1:4" x14ac:dyDescent="0.55000000000000004">
      <c r="A1710" t="s">
        <v>765</v>
      </c>
      <c r="B1710" t="str">
        <f>VLOOKUP(B1707,Tabelle3!$A$2:$E$33,4,FALSE)</f>
        <v>""</v>
      </c>
      <c r="D1710" t="str">
        <f t="shared" ref="D1710:D1773" si="1395">IF(ISNUMBER(B1710),(A1710&amp;B1710),"")</f>
        <v/>
      </c>
    </row>
    <row r="1711" spans="1:4" x14ac:dyDescent="0.55000000000000004">
      <c r="A1711" t="s">
        <v>6</v>
      </c>
      <c r="D1711" t="str">
        <f t="shared" ref="D1711:D1774" si="1396">A1711</f>
        <v xml:space="preserve">  },</v>
      </c>
    </row>
    <row r="1712" spans="1:4" x14ac:dyDescent="0.55000000000000004">
      <c r="A1712" t="s">
        <v>293</v>
      </c>
      <c r="D1712" t="str">
        <f t="shared" si="1396"/>
        <v xml:space="preserve">  "24-20": {</v>
      </c>
    </row>
    <row r="1713" spans="1:4" x14ac:dyDescent="0.55000000000000004">
      <c r="A1713" t="s">
        <v>285</v>
      </c>
      <c r="B1713">
        <f t="shared" ref="B1713" si="1397">_xlfn.NUMBERVALUE(RIGHT(A1713,2))</f>
        <v>15</v>
      </c>
      <c r="D1713" t="str">
        <f t="shared" ref="D1713:D1776" si="1398">A1713&amp;","</f>
        <v xml:space="preserve">    "resultPage": 15,</v>
      </c>
    </row>
    <row r="1714" spans="1:4" x14ac:dyDescent="0.55000000000000004">
      <c r="A1714" t="s">
        <v>763</v>
      </c>
      <c r="B1714" t="str">
        <f>VLOOKUP(B1713,Tabelle3!$A$2:$E$33,3,FALSE)</f>
        <v>Swinging Down</v>
      </c>
      <c r="C1714" t="s">
        <v>762</v>
      </c>
      <c r="D1714" t="str">
        <f t="shared" ref="D1714" si="1399">_xlfn.CONCAT(A1714:C1714)</f>
        <v xml:space="preserve">    "message":  "Swinging Down",</v>
      </c>
    </row>
    <row r="1715" spans="1:4" x14ac:dyDescent="0.55000000000000004">
      <c r="A1715" t="s">
        <v>764</v>
      </c>
      <c r="B1715" t="str">
        <f>VLOOKUP(B1713,Tabelle3!$A$2:$E$33,5,FALSE)</f>
        <v/>
      </c>
      <c r="C1715" t="s">
        <v>762</v>
      </c>
      <c r="D1715" t="str">
        <f t="shared" si="1364"/>
        <v xml:space="preserve">    "nextInstruction":  "",</v>
      </c>
    </row>
    <row r="1716" spans="1:4" x14ac:dyDescent="0.55000000000000004">
      <c r="A1716" t="s">
        <v>765</v>
      </c>
      <c r="B1716" t="str">
        <f>VLOOKUP(B1713,Tabelle3!$A$2:$E$33,4,FALSE)</f>
        <v>""</v>
      </c>
      <c r="D1716" t="str">
        <f t="shared" ref="D1716:D1779" si="1400">IF(ISNUMBER(B1716),(A1716&amp;B1716),"")</f>
        <v/>
      </c>
    </row>
    <row r="1717" spans="1:4" x14ac:dyDescent="0.55000000000000004">
      <c r="A1717" t="s">
        <v>6</v>
      </c>
      <c r="D1717" t="str">
        <f t="shared" ref="D1717:D1780" si="1401">A1717</f>
        <v xml:space="preserve">  },</v>
      </c>
    </row>
    <row r="1718" spans="1:4" x14ac:dyDescent="0.55000000000000004">
      <c r="A1718" t="s">
        <v>294</v>
      </c>
      <c r="D1718" t="str">
        <f t="shared" si="1401"/>
        <v xml:space="preserve">  "24-22": {</v>
      </c>
    </row>
    <row r="1719" spans="1:4" x14ac:dyDescent="0.55000000000000004">
      <c r="A1719" t="s">
        <v>285</v>
      </c>
      <c r="B1719">
        <f t="shared" ref="B1719" si="1402">_xlfn.NUMBERVALUE(RIGHT(A1719,2))</f>
        <v>15</v>
      </c>
      <c r="D1719" t="str">
        <f t="shared" ref="D1719:D1782" si="1403">A1719&amp;","</f>
        <v xml:space="preserve">    "resultPage": 15,</v>
      </c>
    </row>
    <row r="1720" spans="1:4" x14ac:dyDescent="0.55000000000000004">
      <c r="A1720" t="s">
        <v>763</v>
      </c>
      <c r="B1720" t="str">
        <f>VLOOKUP(B1719,Tabelle3!$A$2:$E$33,3,FALSE)</f>
        <v>Swinging Down</v>
      </c>
      <c r="C1720" t="s">
        <v>762</v>
      </c>
      <c r="D1720" t="str">
        <f t="shared" ref="D1720" si="1404">_xlfn.CONCAT(A1720:C1720)</f>
        <v xml:space="preserve">    "message":  "Swinging Down",</v>
      </c>
    </row>
    <row r="1721" spans="1:4" x14ac:dyDescent="0.55000000000000004">
      <c r="A1721" t="s">
        <v>764</v>
      </c>
      <c r="B1721" t="str">
        <f>VLOOKUP(B1719,Tabelle3!$A$2:$E$33,5,FALSE)</f>
        <v/>
      </c>
      <c r="C1721" t="s">
        <v>762</v>
      </c>
      <c r="D1721" t="str">
        <f t="shared" si="1364"/>
        <v xml:space="preserve">    "nextInstruction":  "",</v>
      </c>
    </row>
    <row r="1722" spans="1:4" x14ac:dyDescent="0.55000000000000004">
      <c r="A1722" t="s">
        <v>765</v>
      </c>
      <c r="B1722" t="str">
        <f>VLOOKUP(B1719,Tabelle3!$A$2:$E$33,4,FALSE)</f>
        <v>""</v>
      </c>
      <c r="D1722" t="str">
        <f t="shared" ref="D1722:D1785" si="1405">IF(ISNUMBER(B1722),(A1722&amp;B1722),"")</f>
        <v/>
      </c>
    </row>
    <row r="1723" spans="1:4" x14ac:dyDescent="0.55000000000000004">
      <c r="A1723" t="s">
        <v>6</v>
      </c>
      <c r="D1723" t="str">
        <f t="shared" ref="D1723:D1786" si="1406">A1723</f>
        <v xml:space="preserve">  },</v>
      </c>
    </row>
    <row r="1724" spans="1:4" x14ac:dyDescent="0.55000000000000004">
      <c r="A1724" t="s">
        <v>295</v>
      </c>
      <c r="D1724" t="str">
        <f t="shared" si="1406"/>
        <v xml:space="preserve">  "24-24": {</v>
      </c>
    </row>
    <row r="1725" spans="1:4" x14ac:dyDescent="0.55000000000000004">
      <c r="A1725" t="s">
        <v>23</v>
      </c>
      <c r="B1725">
        <f t="shared" ref="B1725" si="1407">_xlfn.NUMBERVALUE(RIGHT(A1725,2))</f>
        <v>7</v>
      </c>
      <c r="D1725" t="str">
        <f t="shared" ref="D1725:D1788" si="1408">A1725&amp;","</f>
        <v xml:space="preserve">    "resultPage": 7,</v>
      </c>
    </row>
    <row r="1726" spans="1:4" x14ac:dyDescent="0.55000000000000004">
      <c r="A1726" t="s">
        <v>763</v>
      </c>
      <c r="B1726" t="str">
        <f>VLOOKUP(B1725,Tabelle3!$A$2:$E$33,3,FALSE)</f>
        <v>Dazed</v>
      </c>
      <c r="C1726" t="s">
        <v>762</v>
      </c>
      <c r="D1726" t="str">
        <f t="shared" ref="D1726" si="1409">_xlfn.CONCAT(A1726:C1726)</f>
        <v xml:space="preserve">    "message":  "Dazed",</v>
      </c>
    </row>
    <row r="1727" spans="1:4" x14ac:dyDescent="0.55000000000000004">
      <c r="A1727" t="s">
        <v>764</v>
      </c>
      <c r="B1727" t="str">
        <f>VLOOKUP(B1725,Tabelle3!$A$2:$E$33,5,FALSE)</f>
        <v>Only Green Only Yellow</v>
      </c>
      <c r="C1727" t="s">
        <v>762</v>
      </c>
      <c r="D1727" t="str">
        <f t="shared" si="1364"/>
        <v xml:space="preserve">    "nextInstruction":  "Only Green Only Yellow",</v>
      </c>
    </row>
    <row r="1728" spans="1:4" x14ac:dyDescent="0.55000000000000004">
      <c r="A1728" t="s">
        <v>765</v>
      </c>
      <c r="B1728">
        <f>VLOOKUP(B1725,Tabelle3!$A$2:$E$33,4,FALSE)</f>
        <v>7</v>
      </c>
      <c r="D1728" t="str">
        <f t="shared" ref="D1728:D1791" si="1410">IF(ISNUMBER(B1728),(A1728&amp;B1728),"")</f>
        <v xml:space="preserve">    "damageModifier": 7</v>
      </c>
    </row>
    <row r="1729" spans="1:4" x14ac:dyDescent="0.55000000000000004">
      <c r="A1729" t="s">
        <v>6</v>
      </c>
      <c r="D1729" t="str">
        <f t="shared" ref="D1729:D1792" si="1411">A1729</f>
        <v xml:space="preserve">  },</v>
      </c>
    </row>
    <row r="1730" spans="1:4" x14ac:dyDescent="0.55000000000000004">
      <c r="A1730" t="s">
        <v>296</v>
      </c>
      <c r="D1730" t="str">
        <f t="shared" si="1411"/>
        <v xml:space="preserve">  "24-26": {</v>
      </c>
    </row>
    <row r="1731" spans="1:4" x14ac:dyDescent="0.55000000000000004">
      <c r="A1731" t="s">
        <v>285</v>
      </c>
      <c r="B1731">
        <f t="shared" ref="B1731" si="1412">_xlfn.NUMBERVALUE(RIGHT(A1731,2))</f>
        <v>15</v>
      </c>
      <c r="D1731" t="str">
        <f t="shared" ref="D1731:D1794" si="1413">A1731&amp;","</f>
        <v xml:space="preserve">    "resultPage": 15,</v>
      </c>
    </row>
    <row r="1732" spans="1:4" x14ac:dyDescent="0.55000000000000004">
      <c r="A1732" t="s">
        <v>763</v>
      </c>
      <c r="B1732" t="str">
        <f>VLOOKUP(B1731,Tabelle3!$A$2:$E$33,3,FALSE)</f>
        <v>Swinging Down</v>
      </c>
      <c r="C1732" t="s">
        <v>762</v>
      </c>
      <c r="D1732" t="str">
        <f t="shared" ref="D1732" si="1414">_xlfn.CONCAT(A1732:C1732)</f>
        <v xml:space="preserve">    "message":  "Swinging Down",</v>
      </c>
    </row>
    <row r="1733" spans="1:4" x14ac:dyDescent="0.55000000000000004">
      <c r="A1733" t="s">
        <v>764</v>
      </c>
      <c r="B1733" t="str">
        <f>VLOOKUP(B1731,Tabelle3!$A$2:$E$33,5,FALSE)</f>
        <v/>
      </c>
      <c r="C1733" t="s">
        <v>762</v>
      </c>
      <c r="D1733" t="str">
        <f t="shared" si="1364"/>
        <v xml:space="preserve">    "nextInstruction":  "",</v>
      </c>
    </row>
    <row r="1734" spans="1:4" x14ac:dyDescent="0.55000000000000004">
      <c r="A1734" t="s">
        <v>765</v>
      </c>
      <c r="B1734" t="str">
        <f>VLOOKUP(B1731,Tabelle3!$A$2:$E$33,4,FALSE)</f>
        <v>""</v>
      </c>
      <c r="D1734" t="str">
        <f t="shared" ref="D1734:D1797" si="1415">IF(ISNUMBER(B1734),(A1734&amp;B1734),"")</f>
        <v/>
      </c>
    </row>
    <row r="1735" spans="1:4" x14ac:dyDescent="0.55000000000000004">
      <c r="A1735" t="s">
        <v>6</v>
      </c>
      <c r="D1735" t="str">
        <f t="shared" ref="D1735:D1798" si="1416">A1735</f>
        <v xml:space="preserve">  },</v>
      </c>
    </row>
    <row r="1736" spans="1:4" x14ac:dyDescent="0.55000000000000004">
      <c r="A1736" t="s">
        <v>297</v>
      </c>
      <c r="D1736" t="str">
        <f t="shared" si="1416"/>
        <v xml:space="preserve">  "24-28": {</v>
      </c>
    </row>
    <row r="1737" spans="1:4" x14ac:dyDescent="0.55000000000000004">
      <c r="A1737" t="s">
        <v>20</v>
      </c>
      <c r="B1737">
        <f t="shared" ref="B1737" si="1417">_xlfn.NUMBERVALUE(RIGHT(A1737,2))</f>
        <v>53</v>
      </c>
      <c r="D1737" t="str">
        <f t="shared" ref="D1737:D1800" si="1418">A1737&amp;","</f>
        <v xml:space="preserve">    "resultPage": 53,</v>
      </c>
    </row>
    <row r="1738" spans="1:4" x14ac:dyDescent="0.55000000000000004">
      <c r="A1738" t="s">
        <v>763</v>
      </c>
      <c r="B1738" t="str">
        <f>VLOOKUP(B1737,Tabelle3!$A$2:$E$33,3,FALSE)</f>
        <v>Body Wound</v>
      </c>
      <c r="C1738" t="s">
        <v>762</v>
      </c>
      <c r="D1738" t="str">
        <f t="shared" ref="D1738:D1799" si="1419">_xlfn.CONCAT(A1738:C1738)</f>
        <v xml:space="preserve">    "message":  "Body Wound",</v>
      </c>
    </row>
    <row r="1739" spans="1:4" x14ac:dyDescent="0.55000000000000004">
      <c r="A1739" t="s">
        <v>764</v>
      </c>
      <c r="B1739" t="str">
        <f>VLOOKUP(B1737,Tabelle3!$A$2:$E$33,5,FALSE)</f>
        <v>No Red No Orange</v>
      </c>
      <c r="C1739" t="s">
        <v>762</v>
      </c>
      <c r="D1739" t="str">
        <f t="shared" si="1419"/>
        <v xml:space="preserve">    "nextInstruction":  "No Red No Orange",</v>
      </c>
    </row>
    <row r="1740" spans="1:4" x14ac:dyDescent="0.55000000000000004">
      <c r="A1740" t="s">
        <v>765</v>
      </c>
      <c r="B1740">
        <f>VLOOKUP(B1737,Tabelle3!$A$2:$E$33,4,FALSE)</f>
        <v>5</v>
      </c>
      <c r="D1740" t="str">
        <f t="shared" ref="D1740:D1803" si="1420">IF(ISNUMBER(B1740),(A1740&amp;B1740),"")</f>
        <v xml:space="preserve">    "damageModifier": 5</v>
      </c>
    </row>
    <row r="1741" spans="1:4" x14ac:dyDescent="0.55000000000000004">
      <c r="A1741" t="s">
        <v>6</v>
      </c>
      <c r="D1741" t="str">
        <f t="shared" ref="D1741:D1804" si="1421">A1741</f>
        <v xml:space="preserve">  },</v>
      </c>
    </row>
    <row r="1742" spans="1:4" x14ac:dyDescent="0.55000000000000004">
      <c r="A1742" t="s">
        <v>298</v>
      </c>
      <c r="D1742" t="str">
        <f t="shared" si="1421"/>
        <v xml:space="preserve">  "24-30": {</v>
      </c>
    </row>
    <row r="1743" spans="1:4" x14ac:dyDescent="0.55000000000000004">
      <c r="A1743" t="s">
        <v>285</v>
      </c>
      <c r="B1743">
        <f t="shared" ref="B1743" si="1422">_xlfn.NUMBERVALUE(RIGHT(A1743,2))</f>
        <v>15</v>
      </c>
      <c r="D1743" t="str">
        <f t="shared" ref="D1743:D1806" si="1423">A1743&amp;","</f>
        <v xml:space="preserve">    "resultPage": 15,</v>
      </c>
    </row>
    <row r="1744" spans="1:4" x14ac:dyDescent="0.55000000000000004">
      <c r="A1744" t="s">
        <v>763</v>
      </c>
      <c r="B1744" t="str">
        <f>VLOOKUP(B1743,Tabelle3!$A$2:$E$33,3,FALSE)</f>
        <v>Swinging Down</v>
      </c>
      <c r="C1744" t="s">
        <v>762</v>
      </c>
      <c r="D1744" t="str">
        <f t="shared" ref="D1744" si="1424">_xlfn.CONCAT(A1744:C1744)</f>
        <v xml:space="preserve">    "message":  "Swinging Down",</v>
      </c>
    </row>
    <row r="1745" spans="1:4" x14ac:dyDescent="0.55000000000000004">
      <c r="A1745" t="s">
        <v>764</v>
      </c>
      <c r="B1745" t="str">
        <f>VLOOKUP(B1743,Tabelle3!$A$2:$E$33,5,FALSE)</f>
        <v/>
      </c>
      <c r="C1745" t="s">
        <v>762</v>
      </c>
      <c r="D1745" t="str">
        <f t="shared" si="1419"/>
        <v xml:space="preserve">    "nextInstruction":  "",</v>
      </c>
    </row>
    <row r="1746" spans="1:4" x14ac:dyDescent="0.55000000000000004">
      <c r="A1746" t="s">
        <v>765</v>
      </c>
      <c r="B1746" t="str">
        <f>VLOOKUP(B1743,Tabelle3!$A$2:$E$33,4,FALSE)</f>
        <v>""</v>
      </c>
      <c r="D1746" t="str">
        <f t="shared" ref="D1746:D1809" si="1425">IF(ISNUMBER(B1746),(A1746&amp;B1746),"")</f>
        <v/>
      </c>
    </row>
    <row r="1747" spans="1:4" x14ac:dyDescent="0.55000000000000004">
      <c r="A1747" t="s">
        <v>6</v>
      </c>
      <c r="D1747" t="str">
        <f t="shared" ref="D1747:D1810" si="1426">A1747</f>
        <v xml:space="preserve">  },</v>
      </c>
    </row>
    <row r="1748" spans="1:4" x14ac:dyDescent="0.55000000000000004">
      <c r="A1748" t="s">
        <v>299</v>
      </c>
      <c r="D1748" t="str">
        <f t="shared" si="1426"/>
        <v xml:space="preserve">  "24-32": {</v>
      </c>
    </row>
    <row r="1749" spans="1:4" x14ac:dyDescent="0.55000000000000004">
      <c r="A1749" t="s">
        <v>76</v>
      </c>
      <c r="B1749">
        <f t="shared" ref="B1749" si="1427">_xlfn.NUMBERVALUE(RIGHT(A1749,2))</f>
        <v>45</v>
      </c>
      <c r="D1749" t="str">
        <f t="shared" ref="D1749:D1812" si="1428">A1749&amp;","</f>
        <v xml:space="preserve">    "resultPage": 45,</v>
      </c>
    </row>
    <row r="1750" spans="1:4" x14ac:dyDescent="0.55000000000000004">
      <c r="A1750" t="s">
        <v>763</v>
      </c>
      <c r="B1750" t="str">
        <f>VLOOKUP(B1749,Tabelle3!$A$2:$E$33,3,FALSE)</f>
        <v>Parrying High</v>
      </c>
      <c r="C1750" t="s">
        <v>762</v>
      </c>
      <c r="D1750" t="str">
        <f t="shared" ref="D1750" si="1429">_xlfn.CONCAT(A1750:C1750)</f>
        <v xml:space="preserve">    "message":  "Parrying High",</v>
      </c>
    </row>
    <row r="1751" spans="1:4" x14ac:dyDescent="0.55000000000000004">
      <c r="A1751" t="s">
        <v>764</v>
      </c>
      <c r="B1751" t="str">
        <f>VLOOKUP(B1749,Tabelle3!$A$2:$E$33,5,FALSE)</f>
        <v/>
      </c>
      <c r="C1751" t="s">
        <v>762</v>
      </c>
      <c r="D1751" t="str">
        <f t="shared" si="1419"/>
        <v xml:space="preserve">    "nextInstruction":  "",</v>
      </c>
    </row>
    <row r="1752" spans="1:4" x14ac:dyDescent="0.55000000000000004">
      <c r="A1752" t="s">
        <v>765</v>
      </c>
      <c r="B1752">
        <f>VLOOKUP(B1749,Tabelle3!$A$2:$E$33,4,FALSE)</f>
        <v>-4</v>
      </c>
      <c r="D1752" t="str">
        <f t="shared" ref="D1752:D1815" si="1430">IF(ISNUMBER(B1752),(A1752&amp;B1752),"")</f>
        <v xml:space="preserve">    "damageModifier": -4</v>
      </c>
    </row>
    <row r="1753" spans="1:4" x14ac:dyDescent="0.55000000000000004">
      <c r="A1753" t="s">
        <v>6</v>
      </c>
      <c r="D1753" t="str">
        <f t="shared" ref="D1753:D1816" si="1431">A1753</f>
        <v xml:space="preserve">  },</v>
      </c>
    </row>
    <row r="1754" spans="1:4" x14ac:dyDescent="0.55000000000000004">
      <c r="A1754" t="s">
        <v>300</v>
      </c>
      <c r="D1754" t="str">
        <f t="shared" si="1431"/>
        <v xml:space="preserve">  "24-34": {</v>
      </c>
    </row>
    <row r="1755" spans="1:4" x14ac:dyDescent="0.55000000000000004">
      <c r="A1755" t="s">
        <v>285</v>
      </c>
      <c r="B1755">
        <f t="shared" ref="B1755" si="1432">_xlfn.NUMBERVALUE(RIGHT(A1755,2))</f>
        <v>15</v>
      </c>
      <c r="D1755" t="str">
        <f t="shared" ref="D1755:D1818" si="1433">A1755&amp;","</f>
        <v xml:space="preserve">    "resultPage": 15,</v>
      </c>
    </row>
    <row r="1756" spans="1:4" x14ac:dyDescent="0.55000000000000004">
      <c r="A1756" t="s">
        <v>763</v>
      </c>
      <c r="B1756" t="str">
        <f>VLOOKUP(B1755,Tabelle3!$A$2:$E$33,3,FALSE)</f>
        <v>Swinging Down</v>
      </c>
      <c r="C1756" t="s">
        <v>762</v>
      </c>
      <c r="D1756" t="str">
        <f t="shared" ref="D1756" si="1434">_xlfn.CONCAT(A1756:C1756)</f>
        <v xml:space="preserve">    "message":  "Swinging Down",</v>
      </c>
    </row>
    <row r="1757" spans="1:4" x14ac:dyDescent="0.55000000000000004">
      <c r="A1757" t="s">
        <v>764</v>
      </c>
      <c r="B1757" t="str">
        <f>VLOOKUP(B1755,Tabelle3!$A$2:$E$33,5,FALSE)</f>
        <v/>
      </c>
      <c r="C1757" t="s">
        <v>762</v>
      </c>
      <c r="D1757" t="str">
        <f t="shared" si="1419"/>
        <v xml:space="preserve">    "nextInstruction":  "",</v>
      </c>
    </row>
    <row r="1758" spans="1:4" x14ac:dyDescent="0.55000000000000004">
      <c r="A1758" t="s">
        <v>765</v>
      </c>
      <c r="B1758" t="str">
        <f>VLOOKUP(B1755,Tabelle3!$A$2:$E$33,4,FALSE)</f>
        <v>""</v>
      </c>
      <c r="D1758" t="str">
        <f t="shared" ref="D1758:D1821" si="1435">IF(ISNUMBER(B1758),(A1758&amp;B1758),"")</f>
        <v/>
      </c>
    </row>
    <row r="1759" spans="1:4" x14ac:dyDescent="0.55000000000000004">
      <c r="A1759" t="s">
        <v>6</v>
      </c>
      <c r="D1759" t="str">
        <f t="shared" ref="D1759:D1822" si="1436">A1759</f>
        <v xml:space="preserve">  },</v>
      </c>
    </row>
    <row r="1760" spans="1:4" x14ac:dyDescent="0.55000000000000004">
      <c r="A1760" t="s">
        <v>301</v>
      </c>
      <c r="D1760" t="str">
        <f t="shared" si="1436"/>
        <v xml:space="preserve">  "24-36": {</v>
      </c>
    </row>
    <row r="1761" spans="1:4" x14ac:dyDescent="0.55000000000000004">
      <c r="A1761" t="s">
        <v>285</v>
      </c>
      <c r="B1761">
        <f t="shared" ref="B1761" si="1437">_xlfn.NUMBERVALUE(RIGHT(A1761,2))</f>
        <v>15</v>
      </c>
      <c r="D1761" t="str">
        <f t="shared" ref="D1761:D1824" si="1438">A1761&amp;","</f>
        <v xml:space="preserve">    "resultPage": 15,</v>
      </c>
    </row>
    <row r="1762" spans="1:4" x14ac:dyDescent="0.55000000000000004">
      <c r="A1762" t="s">
        <v>763</v>
      </c>
      <c r="B1762" t="str">
        <f>VLOOKUP(B1761,Tabelle3!$A$2:$E$33,3,FALSE)</f>
        <v>Swinging Down</v>
      </c>
      <c r="C1762" t="s">
        <v>762</v>
      </c>
      <c r="D1762" t="str">
        <f t="shared" ref="D1762" si="1439">_xlfn.CONCAT(A1762:C1762)</f>
        <v xml:space="preserve">    "message":  "Swinging Down",</v>
      </c>
    </row>
    <row r="1763" spans="1:4" x14ac:dyDescent="0.55000000000000004">
      <c r="A1763" t="s">
        <v>764</v>
      </c>
      <c r="B1763" t="str">
        <f>VLOOKUP(B1761,Tabelle3!$A$2:$E$33,5,FALSE)</f>
        <v/>
      </c>
      <c r="C1763" t="s">
        <v>762</v>
      </c>
      <c r="D1763" t="str">
        <f t="shared" si="1419"/>
        <v xml:space="preserve">    "nextInstruction":  "",</v>
      </c>
    </row>
    <row r="1764" spans="1:4" x14ac:dyDescent="0.55000000000000004">
      <c r="A1764" t="s">
        <v>765</v>
      </c>
      <c r="B1764" t="str">
        <f>VLOOKUP(B1761,Tabelle3!$A$2:$E$33,4,FALSE)</f>
        <v>""</v>
      </c>
      <c r="D1764" t="str">
        <f t="shared" ref="D1764:D1827" si="1440">IF(ISNUMBER(B1764),(A1764&amp;B1764),"")</f>
        <v/>
      </c>
    </row>
    <row r="1765" spans="1:4" x14ac:dyDescent="0.55000000000000004">
      <c r="A1765" t="s">
        <v>6</v>
      </c>
      <c r="D1765" t="str">
        <f t="shared" ref="D1765:D1828" si="1441">A1765</f>
        <v xml:space="preserve">  },</v>
      </c>
    </row>
    <row r="1766" spans="1:4" x14ac:dyDescent="0.55000000000000004">
      <c r="A1766" t="s">
        <v>302</v>
      </c>
      <c r="D1766" t="str">
        <f t="shared" si="1441"/>
        <v xml:space="preserve">  "24-38": {</v>
      </c>
    </row>
    <row r="1767" spans="1:4" x14ac:dyDescent="0.55000000000000004">
      <c r="A1767" t="s">
        <v>76</v>
      </c>
      <c r="B1767">
        <f t="shared" ref="B1767" si="1442">_xlfn.NUMBERVALUE(RIGHT(A1767,2))</f>
        <v>45</v>
      </c>
      <c r="D1767" t="str">
        <f t="shared" ref="D1767:D1830" si="1443">A1767&amp;","</f>
        <v xml:space="preserve">    "resultPage": 45,</v>
      </c>
    </row>
    <row r="1768" spans="1:4" x14ac:dyDescent="0.55000000000000004">
      <c r="A1768" t="s">
        <v>763</v>
      </c>
      <c r="B1768" t="str">
        <f>VLOOKUP(B1767,Tabelle3!$A$2:$E$33,3,FALSE)</f>
        <v>Parrying High</v>
      </c>
      <c r="C1768" t="s">
        <v>762</v>
      </c>
      <c r="D1768" t="str">
        <f t="shared" ref="D1768" si="1444">_xlfn.CONCAT(A1768:C1768)</f>
        <v xml:space="preserve">    "message":  "Parrying High",</v>
      </c>
    </row>
    <row r="1769" spans="1:4" x14ac:dyDescent="0.55000000000000004">
      <c r="A1769" t="s">
        <v>764</v>
      </c>
      <c r="B1769" t="str">
        <f>VLOOKUP(B1767,Tabelle3!$A$2:$E$33,5,FALSE)</f>
        <v/>
      </c>
      <c r="C1769" t="s">
        <v>762</v>
      </c>
      <c r="D1769" t="str">
        <f t="shared" si="1419"/>
        <v xml:space="preserve">    "nextInstruction":  "",</v>
      </c>
    </row>
    <row r="1770" spans="1:4" x14ac:dyDescent="0.55000000000000004">
      <c r="A1770" t="s">
        <v>765</v>
      </c>
      <c r="B1770">
        <f>VLOOKUP(B1767,Tabelle3!$A$2:$E$33,4,FALSE)</f>
        <v>-4</v>
      </c>
      <c r="D1770" t="str">
        <f t="shared" ref="D1770:D1833" si="1445">IF(ISNUMBER(B1770),(A1770&amp;B1770),"")</f>
        <v xml:space="preserve">    "damageModifier": -4</v>
      </c>
    </row>
    <row r="1771" spans="1:4" x14ac:dyDescent="0.55000000000000004">
      <c r="A1771" t="s">
        <v>6</v>
      </c>
      <c r="D1771" t="str">
        <f t="shared" ref="D1771:D1834" si="1446">A1771</f>
        <v xml:space="preserve">  },</v>
      </c>
    </row>
    <row r="1772" spans="1:4" x14ac:dyDescent="0.55000000000000004">
      <c r="A1772" t="s">
        <v>303</v>
      </c>
      <c r="D1772" t="str">
        <f t="shared" si="1446"/>
        <v xml:space="preserve">  "24-40": {</v>
      </c>
    </row>
    <row r="1773" spans="1:4" x14ac:dyDescent="0.55000000000000004">
      <c r="A1773" t="s">
        <v>96</v>
      </c>
      <c r="B1773">
        <f t="shared" ref="B1773" si="1447">_xlfn.NUMBERVALUE(RIGHT(A1773,2))</f>
        <v>23</v>
      </c>
      <c r="D1773" t="str">
        <f t="shared" ref="D1773:D1836" si="1448">A1773&amp;","</f>
        <v xml:space="preserve">    "resultPage": 23,</v>
      </c>
    </row>
    <row r="1774" spans="1:4" x14ac:dyDescent="0.55000000000000004">
      <c r="A1774" t="s">
        <v>763</v>
      </c>
      <c r="B1774" t="str">
        <f>VLOOKUP(B1773,Tabelle3!$A$2:$E$33,3,FALSE)</f>
        <v>Behind You</v>
      </c>
      <c r="C1774" t="s">
        <v>762</v>
      </c>
      <c r="D1774" t="str">
        <f t="shared" ref="D1774" si="1449">_xlfn.CONCAT(A1774:C1774)</f>
        <v xml:space="preserve">    "message":  "Behind You",</v>
      </c>
    </row>
    <row r="1775" spans="1:4" x14ac:dyDescent="0.55000000000000004">
      <c r="A1775" t="s">
        <v>764</v>
      </c>
      <c r="B1775" t="str">
        <f>VLOOKUP(B1773,Tabelle3!$A$2:$E$33,5,FALSE)</f>
        <v/>
      </c>
      <c r="C1775" t="s">
        <v>762</v>
      </c>
      <c r="D1775" t="str">
        <f t="shared" si="1419"/>
        <v xml:space="preserve">    "nextInstruction":  "",</v>
      </c>
    </row>
    <row r="1776" spans="1:4" x14ac:dyDescent="0.55000000000000004">
      <c r="A1776" t="s">
        <v>765</v>
      </c>
      <c r="B1776" t="str">
        <f>VLOOKUP(B1773,Tabelle3!$A$2:$E$33,4,FALSE)</f>
        <v>""</v>
      </c>
      <c r="D1776" t="str">
        <f t="shared" ref="D1776:D1839" si="1450">IF(ISNUMBER(B1776),(A1776&amp;B1776),"")</f>
        <v/>
      </c>
    </row>
    <row r="1777" spans="1:4" x14ac:dyDescent="0.55000000000000004">
      <c r="A1777" t="s">
        <v>6</v>
      </c>
      <c r="D1777" t="str">
        <f t="shared" ref="D1777:D1840" si="1451">A1777</f>
        <v xml:space="preserve">  },</v>
      </c>
    </row>
    <row r="1778" spans="1:4" x14ac:dyDescent="0.55000000000000004">
      <c r="A1778" t="s">
        <v>304</v>
      </c>
      <c r="D1778" t="str">
        <f t="shared" si="1451"/>
        <v xml:space="preserve">  "24-42": {</v>
      </c>
    </row>
    <row r="1779" spans="1:4" x14ac:dyDescent="0.55000000000000004">
      <c r="A1779" t="s">
        <v>138</v>
      </c>
      <c r="B1779">
        <f t="shared" ref="B1779" si="1452">_xlfn.NUMBERVALUE(RIGHT(A1779,2))</f>
        <v>13</v>
      </c>
      <c r="D1779" t="str">
        <f t="shared" ref="D1779:D1842" si="1453">A1779&amp;","</f>
        <v xml:space="preserve">    "resultPage": 13,</v>
      </c>
    </row>
    <row r="1780" spans="1:4" x14ac:dyDescent="0.55000000000000004">
      <c r="A1780" t="s">
        <v>763</v>
      </c>
      <c r="B1780" t="str">
        <f>VLOOKUP(B1779,Tabelle3!$A$2:$E$33,3,FALSE)</f>
        <v>Leg Wound</v>
      </c>
      <c r="C1780" t="s">
        <v>762</v>
      </c>
      <c r="D1780" t="str">
        <f t="shared" ref="D1780" si="1454">_xlfn.CONCAT(A1780:C1780)</f>
        <v xml:space="preserve">    "message":  "Leg Wound",</v>
      </c>
    </row>
    <row r="1781" spans="1:4" x14ac:dyDescent="0.55000000000000004">
      <c r="A1781" t="s">
        <v>764</v>
      </c>
      <c r="B1781" t="str">
        <f>VLOOKUP(B1779,Tabelle3!$A$2:$E$33,5,FALSE)</f>
        <v>No Orange</v>
      </c>
      <c r="C1781" t="s">
        <v>762</v>
      </c>
      <c r="D1781" t="str">
        <f t="shared" si="1419"/>
        <v xml:space="preserve">    "nextInstruction":  "No Orange",</v>
      </c>
    </row>
    <row r="1782" spans="1:4" x14ac:dyDescent="0.55000000000000004">
      <c r="A1782" t="s">
        <v>765</v>
      </c>
      <c r="B1782">
        <f>VLOOKUP(B1779,Tabelle3!$A$2:$E$33,4,FALSE)</f>
        <v>4</v>
      </c>
      <c r="D1782" t="str">
        <f t="shared" ref="D1782:D1845" si="1455">IF(ISNUMBER(B1782),(A1782&amp;B1782),"")</f>
        <v xml:space="preserve">    "damageModifier": 4</v>
      </c>
    </row>
    <row r="1783" spans="1:4" x14ac:dyDescent="0.55000000000000004">
      <c r="A1783" t="s">
        <v>6</v>
      </c>
      <c r="D1783" t="str">
        <f t="shared" ref="D1783:D1846" si="1456">A1783</f>
        <v xml:space="preserve">  },</v>
      </c>
    </row>
    <row r="1784" spans="1:4" x14ac:dyDescent="0.55000000000000004">
      <c r="A1784" t="s">
        <v>305</v>
      </c>
      <c r="D1784" t="str">
        <f t="shared" si="1456"/>
        <v xml:space="preserve">  "24-44": {</v>
      </c>
    </row>
    <row r="1785" spans="1:4" x14ac:dyDescent="0.55000000000000004">
      <c r="A1785" t="s">
        <v>285</v>
      </c>
      <c r="B1785">
        <f t="shared" ref="B1785" si="1457">_xlfn.NUMBERVALUE(RIGHT(A1785,2))</f>
        <v>15</v>
      </c>
      <c r="D1785" t="str">
        <f t="shared" ref="D1785:D1848" si="1458">A1785&amp;","</f>
        <v xml:space="preserve">    "resultPage": 15,</v>
      </c>
    </row>
    <row r="1786" spans="1:4" x14ac:dyDescent="0.55000000000000004">
      <c r="A1786" t="s">
        <v>763</v>
      </c>
      <c r="B1786" t="str">
        <f>VLOOKUP(B1785,Tabelle3!$A$2:$E$33,3,FALSE)</f>
        <v>Swinging Down</v>
      </c>
      <c r="C1786" t="s">
        <v>762</v>
      </c>
      <c r="D1786" t="str">
        <f t="shared" ref="D1786" si="1459">_xlfn.CONCAT(A1786:C1786)</f>
        <v xml:space="preserve">    "message":  "Swinging Down",</v>
      </c>
    </row>
    <row r="1787" spans="1:4" x14ac:dyDescent="0.55000000000000004">
      <c r="A1787" t="s">
        <v>764</v>
      </c>
      <c r="B1787" t="str">
        <f>VLOOKUP(B1785,Tabelle3!$A$2:$E$33,5,FALSE)</f>
        <v/>
      </c>
      <c r="C1787" t="s">
        <v>762</v>
      </c>
      <c r="D1787" t="str">
        <f t="shared" si="1419"/>
        <v xml:space="preserve">    "nextInstruction":  "",</v>
      </c>
    </row>
    <row r="1788" spans="1:4" x14ac:dyDescent="0.55000000000000004">
      <c r="A1788" t="s">
        <v>765</v>
      </c>
      <c r="B1788" t="str">
        <f>VLOOKUP(B1785,Tabelle3!$A$2:$E$33,4,FALSE)</f>
        <v>""</v>
      </c>
      <c r="D1788" t="str">
        <f t="shared" ref="D1788:D1851" si="1460">IF(ISNUMBER(B1788),(A1788&amp;B1788),"")</f>
        <v/>
      </c>
    </row>
    <row r="1789" spans="1:4" x14ac:dyDescent="0.55000000000000004">
      <c r="A1789" t="s">
        <v>6</v>
      </c>
      <c r="D1789" t="str">
        <f t="shared" ref="D1789:D1852" si="1461">A1789</f>
        <v xml:space="preserve">  },</v>
      </c>
    </row>
    <row r="1790" spans="1:4" x14ac:dyDescent="0.55000000000000004">
      <c r="A1790" t="s">
        <v>306</v>
      </c>
      <c r="D1790" t="str">
        <f t="shared" si="1461"/>
        <v xml:space="preserve">  "24-46": {</v>
      </c>
    </row>
    <row r="1791" spans="1:4" x14ac:dyDescent="0.55000000000000004">
      <c r="A1791" t="s">
        <v>285</v>
      </c>
      <c r="B1791">
        <f t="shared" ref="B1791" si="1462">_xlfn.NUMBERVALUE(RIGHT(A1791,2))</f>
        <v>15</v>
      </c>
      <c r="D1791" t="str">
        <f t="shared" ref="D1791:D1854" si="1463">A1791&amp;","</f>
        <v xml:space="preserve">    "resultPage": 15,</v>
      </c>
    </row>
    <row r="1792" spans="1:4" x14ac:dyDescent="0.55000000000000004">
      <c r="A1792" t="s">
        <v>763</v>
      </c>
      <c r="B1792" t="str">
        <f>VLOOKUP(B1791,Tabelle3!$A$2:$E$33,3,FALSE)</f>
        <v>Swinging Down</v>
      </c>
      <c r="C1792" t="s">
        <v>762</v>
      </c>
      <c r="D1792" t="str">
        <f t="shared" ref="D1792" si="1464">_xlfn.CONCAT(A1792:C1792)</f>
        <v xml:space="preserve">    "message":  "Swinging Down",</v>
      </c>
    </row>
    <row r="1793" spans="1:4" x14ac:dyDescent="0.55000000000000004">
      <c r="A1793" t="s">
        <v>764</v>
      </c>
      <c r="B1793" t="str">
        <f>VLOOKUP(B1791,Tabelle3!$A$2:$E$33,5,FALSE)</f>
        <v/>
      </c>
      <c r="C1793" t="s">
        <v>762</v>
      </c>
      <c r="D1793" t="str">
        <f t="shared" si="1419"/>
        <v xml:space="preserve">    "nextInstruction":  "",</v>
      </c>
    </row>
    <row r="1794" spans="1:4" x14ac:dyDescent="0.55000000000000004">
      <c r="A1794" t="s">
        <v>765</v>
      </c>
      <c r="B1794" t="str">
        <f>VLOOKUP(B1791,Tabelle3!$A$2:$E$33,4,FALSE)</f>
        <v>""</v>
      </c>
      <c r="D1794" t="str">
        <f t="shared" ref="D1794:D1857" si="1465">IF(ISNUMBER(B1794),(A1794&amp;B1794),"")</f>
        <v/>
      </c>
    </row>
    <row r="1795" spans="1:4" x14ac:dyDescent="0.55000000000000004">
      <c r="A1795" t="s">
        <v>6</v>
      </c>
      <c r="D1795" t="str">
        <f t="shared" ref="D1795:D1858" si="1466">A1795</f>
        <v xml:space="preserve">  },</v>
      </c>
    </row>
    <row r="1796" spans="1:4" x14ac:dyDescent="0.55000000000000004">
      <c r="A1796" t="s">
        <v>307</v>
      </c>
      <c r="D1796" t="str">
        <f t="shared" si="1466"/>
        <v xml:space="preserve">  "24-48": {</v>
      </c>
    </row>
    <row r="1797" spans="1:4" x14ac:dyDescent="0.55000000000000004">
      <c r="A1797" t="s">
        <v>58</v>
      </c>
      <c r="B1797">
        <f t="shared" ref="B1797" si="1467">_xlfn.NUMBERVALUE(RIGHT(A1797,2))</f>
        <v>19</v>
      </c>
      <c r="D1797" t="str">
        <f t="shared" ref="D1797:D1860" si="1468">A1797&amp;","</f>
        <v xml:space="preserve">    "resultPage": 19,</v>
      </c>
    </row>
    <row r="1798" spans="1:4" x14ac:dyDescent="0.55000000000000004">
      <c r="A1798" t="s">
        <v>763</v>
      </c>
      <c r="B1798" t="str">
        <f>VLOOKUP(B1797,Tabelle3!$A$2:$E$33,3,FALSE)</f>
        <v>Struck off Balance</v>
      </c>
      <c r="C1798" t="s">
        <v>762</v>
      </c>
      <c r="D1798" t="str">
        <f t="shared" ref="D1798" si="1469">_xlfn.CONCAT(A1798:C1798)</f>
        <v xml:space="preserve">    "message":  "Struck off Balance",</v>
      </c>
    </row>
    <row r="1799" spans="1:4" x14ac:dyDescent="0.55000000000000004">
      <c r="A1799" t="s">
        <v>764</v>
      </c>
      <c r="B1799" t="str">
        <f>VLOOKUP(B1797,Tabelle3!$A$2:$E$33,5,FALSE)</f>
        <v>Only Green Only Yellow</v>
      </c>
      <c r="C1799" t="s">
        <v>762</v>
      </c>
      <c r="D1799" t="str">
        <f t="shared" si="1419"/>
        <v xml:space="preserve">    "nextInstruction":  "Only Green Only Yellow",</v>
      </c>
    </row>
    <row r="1800" spans="1:4" x14ac:dyDescent="0.55000000000000004">
      <c r="A1800" t="s">
        <v>765</v>
      </c>
      <c r="B1800">
        <f>VLOOKUP(B1797,Tabelle3!$A$2:$E$33,4,FALSE)</f>
        <v>0</v>
      </c>
      <c r="D1800" t="str">
        <f t="shared" ref="D1800:D1863" si="1470">IF(ISNUMBER(B1800),(A1800&amp;B1800),"")</f>
        <v xml:space="preserve">    "damageModifier": 0</v>
      </c>
    </row>
    <row r="1801" spans="1:4" x14ac:dyDescent="0.55000000000000004">
      <c r="A1801" t="s">
        <v>6</v>
      </c>
      <c r="D1801" t="str">
        <f t="shared" ref="D1801:D1864" si="1471">A1801</f>
        <v xml:space="preserve">  },</v>
      </c>
    </row>
    <row r="1802" spans="1:4" x14ac:dyDescent="0.55000000000000004">
      <c r="A1802" t="s">
        <v>308</v>
      </c>
      <c r="D1802" t="str">
        <f t="shared" si="1471"/>
        <v xml:space="preserve">  "26-4": {</v>
      </c>
    </row>
    <row r="1803" spans="1:4" x14ac:dyDescent="0.55000000000000004">
      <c r="A1803" t="s">
        <v>63</v>
      </c>
      <c r="B1803">
        <f t="shared" ref="B1803" si="1472">_xlfn.NUMBERVALUE(RIGHT(A1803,2))</f>
        <v>17</v>
      </c>
      <c r="D1803" t="str">
        <f t="shared" ref="D1803:D1866" si="1473">A1803&amp;","</f>
        <v xml:space="preserve">    "resultPage": 17,</v>
      </c>
    </row>
    <row r="1804" spans="1:4" x14ac:dyDescent="0.55000000000000004">
      <c r="A1804" t="s">
        <v>763</v>
      </c>
      <c r="B1804" t="str">
        <f>VLOOKUP(B1803,Tabelle3!$A$2:$E$33,3,FALSE)</f>
        <v>Blocking High</v>
      </c>
      <c r="C1804" t="s">
        <v>762</v>
      </c>
      <c r="D1804" t="str">
        <f t="shared" ref="D1804:D1865" si="1474">_xlfn.CONCAT(A1804:C1804)</f>
        <v xml:space="preserve">    "message":  "Blocking High",</v>
      </c>
    </row>
    <row r="1805" spans="1:4" x14ac:dyDescent="0.55000000000000004">
      <c r="A1805" t="s">
        <v>764</v>
      </c>
      <c r="B1805" t="str">
        <f>VLOOKUP(B1803,Tabelle3!$A$2:$E$33,5,FALSE)</f>
        <v>No Blue</v>
      </c>
      <c r="C1805" t="s">
        <v>762</v>
      </c>
      <c r="D1805" t="str">
        <f t="shared" si="1474"/>
        <v xml:space="preserve">    "nextInstruction":  "No Blue",</v>
      </c>
    </row>
    <row r="1806" spans="1:4" x14ac:dyDescent="0.55000000000000004">
      <c r="A1806" t="s">
        <v>765</v>
      </c>
      <c r="B1806">
        <f>VLOOKUP(B1803,Tabelle3!$A$2:$E$33,4,FALSE)</f>
        <v>-4</v>
      </c>
      <c r="D1806" t="str">
        <f t="shared" ref="D1806:D1869" si="1475">IF(ISNUMBER(B1806),(A1806&amp;B1806),"")</f>
        <v xml:space="preserve">    "damageModifier": -4</v>
      </c>
    </row>
    <row r="1807" spans="1:4" x14ac:dyDescent="0.55000000000000004">
      <c r="A1807" t="s">
        <v>6</v>
      </c>
      <c r="D1807" t="str">
        <f t="shared" ref="D1807:D1870" si="1476">A1807</f>
        <v xml:space="preserve">  },</v>
      </c>
    </row>
    <row r="1808" spans="1:4" x14ac:dyDescent="0.55000000000000004">
      <c r="A1808" t="s">
        <v>309</v>
      </c>
      <c r="D1808" t="str">
        <f t="shared" si="1476"/>
        <v xml:space="preserve">  "26-6": {</v>
      </c>
    </row>
    <row r="1809" spans="1:4" x14ac:dyDescent="0.55000000000000004">
      <c r="A1809" t="s">
        <v>63</v>
      </c>
      <c r="B1809">
        <f t="shared" ref="B1809" si="1477">_xlfn.NUMBERVALUE(RIGHT(A1809,2))</f>
        <v>17</v>
      </c>
      <c r="D1809" t="str">
        <f t="shared" ref="D1809:D1872" si="1478">A1809&amp;","</f>
        <v xml:space="preserve">    "resultPage": 17,</v>
      </c>
    </row>
    <row r="1810" spans="1:4" x14ac:dyDescent="0.55000000000000004">
      <c r="A1810" t="s">
        <v>763</v>
      </c>
      <c r="B1810" t="str">
        <f>VLOOKUP(B1809,Tabelle3!$A$2:$E$33,3,FALSE)</f>
        <v>Blocking High</v>
      </c>
      <c r="C1810" t="s">
        <v>762</v>
      </c>
      <c r="D1810" t="str">
        <f t="shared" ref="D1810" si="1479">_xlfn.CONCAT(A1810:C1810)</f>
        <v xml:space="preserve">    "message":  "Blocking High",</v>
      </c>
    </row>
    <row r="1811" spans="1:4" x14ac:dyDescent="0.55000000000000004">
      <c r="A1811" t="s">
        <v>764</v>
      </c>
      <c r="B1811" t="str">
        <f>VLOOKUP(B1809,Tabelle3!$A$2:$E$33,5,FALSE)</f>
        <v>No Blue</v>
      </c>
      <c r="C1811" t="s">
        <v>762</v>
      </c>
      <c r="D1811" t="str">
        <f t="shared" si="1474"/>
        <v xml:space="preserve">    "nextInstruction":  "No Blue",</v>
      </c>
    </row>
    <row r="1812" spans="1:4" x14ac:dyDescent="0.55000000000000004">
      <c r="A1812" t="s">
        <v>765</v>
      </c>
      <c r="B1812">
        <f>VLOOKUP(B1809,Tabelle3!$A$2:$E$33,4,FALSE)</f>
        <v>-4</v>
      </c>
      <c r="D1812" t="str">
        <f t="shared" ref="D1812:D1875" si="1480">IF(ISNUMBER(B1812),(A1812&amp;B1812),"")</f>
        <v xml:space="preserve">    "damageModifier": -4</v>
      </c>
    </row>
    <row r="1813" spans="1:4" x14ac:dyDescent="0.55000000000000004">
      <c r="A1813" t="s">
        <v>6</v>
      </c>
      <c r="D1813" t="str">
        <f t="shared" ref="D1813:D1876" si="1481">A1813</f>
        <v xml:space="preserve">  },</v>
      </c>
    </row>
    <row r="1814" spans="1:4" x14ac:dyDescent="0.55000000000000004">
      <c r="A1814" t="s">
        <v>310</v>
      </c>
      <c r="D1814" t="str">
        <f t="shared" si="1481"/>
        <v xml:space="preserve">  "26-8": {</v>
      </c>
    </row>
    <row r="1815" spans="1:4" x14ac:dyDescent="0.55000000000000004">
      <c r="A1815" t="s">
        <v>63</v>
      </c>
      <c r="B1815">
        <f t="shared" ref="B1815" si="1482">_xlfn.NUMBERVALUE(RIGHT(A1815,2))</f>
        <v>17</v>
      </c>
      <c r="D1815" t="str">
        <f t="shared" ref="D1815:D1878" si="1483">A1815&amp;","</f>
        <v xml:space="preserve">    "resultPage": 17,</v>
      </c>
    </row>
    <row r="1816" spans="1:4" x14ac:dyDescent="0.55000000000000004">
      <c r="A1816" t="s">
        <v>763</v>
      </c>
      <c r="B1816" t="str">
        <f>VLOOKUP(B1815,Tabelle3!$A$2:$E$33,3,FALSE)</f>
        <v>Blocking High</v>
      </c>
      <c r="C1816" t="s">
        <v>762</v>
      </c>
      <c r="D1816" t="str">
        <f t="shared" ref="D1816" si="1484">_xlfn.CONCAT(A1816:C1816)</f>
        <v xml:space="preserve">    "message":  "Blocking High",</v>
      </c>
    </row>
    <row r="1817" spans="1:4" x14ac:dyDescent="0.55000000000000004">
      <c r="A1817" t="s">
        <v>764</v>
      </c>
      <c r="B1817" t="str">
        <f>VLOOKUP(B1815,Tabelle3!$A$2:$E$33,5,FALSE)</f>
        <v>No Blue</v>
      </c>
      <c r="C1817" t="s">
        <v>762</v>
      </c>
      <c r="D1817" t="str">
        <f t="shared" si="1474"/>
        <v xml:space="preserve">    "nextInstruction":  "No Blue",</v>
      </c>
    </row>
    <row r="1818" spans="1:4" x14ac:dyDescent="0.55000000000000004">
      <c r="A1818" t="s">
        <v>765</v>
      </c>
      <c r="B1818">
        <f>VLOOKUP(B1815,Tabelle3!$A$2:$E$33,4,FALSE)</f>
        <v>-4</v>
      </c>
      <c r="D1818" t="str">
        <f t="shared" ref="D1818:D1881" si="1485">IF(ISNUMBER(B1818),(A1818&amp;B1818),"")</f>
        <v xml:space="preserve">    "damageModifier": -4</v>
      </c>
    </row>
    <row r="1819" spans="1:4" x14ac:dyDescent="0.55000000000000004">
      <c r="A1819" t="s">
        <v>6</v>
      </c>
      <c r="D1819" t="str">
        <f t="shared" ref="D1819:D1882" si="1486">A1819</f>
        <v xml:space="preserve">  },</v>
      </c>
    </row>
    <row r="1820" spans="1:4" x14ac:dyDescent="0.55000000000000004">
      <c r="A1820" t="s">
        <v>311</v>
      </c>
      <c r="D1820" t="str">
        <f t="shared" si="1486"/>
        <v xml:space="preserve">  "26-10": {</v>
      </c>
    </row>
    <row r="1821" spans="1:4" x14ac:dyDescent="0.55000000000000004">
      <c r="A1821" t="s">
        <v>63</v>
      </c>
      <c r="B1821">
        <f t="shared" ref="B1821" si="1487">_xlfn.NUMBERVALUE(RIGHT(A1821,2))</f>
        <v>17</v>
      </c>
      <c r="D1821" t="str">
        <f t="shared" ref="D1821:D1884" si="1488">A1821&amp;","</f>
        <v xml:space="preserve">    "resultPage": 17,</v>
      </c>
    </row>
    <row r="1822" spans="1:4" x14ac:dyDescent="0.55000000000000004">
      <c r="A1822" t="s">
        <v>763</v>
      </c>
      <c r="B1822" t="str">
        <f>VLOOKUP(B1821,Tabelle3!$A$2:$E$33,3,FALSE)</f>
        <v>Blocking High</v>
      </c>
      <c r="C1822" t="s">
        <v>762</v>
      </c>
      <c r="D1822" t="str">
        <f t="shared" ref="D1822" si="1489">_xlfn.CONCAT(A1822:C1822)</f>
        <v xml:space="preserve">    "message":  "Blocking High",</v>
      </c>
    </row>
    <row r="1823" spans="1:4" x14ac:dyDescent="0.55000000000000004">
      <c r="A1823" t="s">
        <v>764</v>
      </c>
      <c r="B1823" t="str">
        <f>VLOOKUP(B1821,Tabelle3!$A$2:$E$33,5,FALSE)</f>
        <v>No Blue</v>
      </c>
      <c r="C1823" t="s">
        <v>762</v>
      </c>
      <c r="D1823" t="str">
        <f t="shared" si="1474"/>
        <v xml:space="preserve">    "nextInstruction":  "No Blue",</v>
      </c>
    </row>
    <row r="1824" spans="1:4" x14ac:dyDescent="0.55000000000000004">
      <c r="A1824" t="s">
        <v>765</v>
      </c>
      <c r="B1824">
        <f>VLOOKUP(B1821,Tabelle3!$A$2:$E$33,4,FALSE)</f>
        <v>-4</v>
      </c>
      <c r="D1824" t="str">
        <f t="shared" ref="D1824:D1887" si="1490">IF(ISNUMBER(B1824),(A1824&amp;B1824),"")</f>
        <v xml:space="preserve">    "damageModifier": -4</v>
      </c>
    </row>
    <row r="1825" spans="1:4" x14ac:dyDescent="0.55000000000000004">
      <c r="A1825" t="s">
        <v>6</v>
      </c>
      <c r="D1825" t="str">
        <f t="shared" ref="D1825:D1888" si="1491">A1825</f>
        <v xml:space="preserve">  },</v>
      </c>
    </row>
    <row r="1826" spans="1:4" x14ac:dyDescent="0.55000000000000004">
      <c r="A1826" t="s">
        <v>312</v>
      </c>
      <c r="D1826" t="str">
        <f t="shared" si="1491"/>
        <v xml:space="preserve">  "26-12": {</v>
      </c>
    </row>
    <row r="1827" spans="1:4" x14ac:dyDescent="0.55000000000000004">
      <c r="A1827" t="s">
        <v>63</v>
      </c>
      <c r="B1827">
        <f t="shared" ref="B1827" si="1492">_xlfn.NUMBERVALUE(RIGHT(A1827,2))</f>
        <v>17</v>
      </c>
      <c r="D1827" t="str">
        <f t="shared" ref="D1827:D1890" si="1493">A1827&amp;","</f>
        <v xml:space="preserve">    "resultPage": 17,</v>
      </c>
    </row>
    <row r="1828" spans="1:4" x14ac:dyDescent="0.55000000000000004">
      <c r="A1828" t="s">
        <v>763</v>
      </c>
      <c r="B1828" t="str">
        <f>VLOOKUP(B1827,Tabelle3!$A$2:$E$33,3,FALSE)</f>
        <v>Blocking High</v>
      </c>
      <c r="C1828" t="s">
        <v>762</v>
      </c>
      <c r="D1828" t="str">
        <f t="shared" ref="D1828" si="1494">_xlfn.CONCAT(A1828:C1828)</f>
        <v xml:space="preserve">    "message":  "Blocking High",</v>
      </c>
    </row>
    <row r="1829" spans="1:4" x14ac:dyDescent="0.55000000000000004">
      <c r="A1829" t="s">
        <v>764</v>
      </c>
      <c r="B1829" t="str">
        <f>VLOOKUP(B1827,Tabelle3!$A$2:$E$33,5,FALSE)</f>
        <v>No Blue</v>
      </c>
      <c r="C1829" t="s">
        <v>762</v>
      </c>
      <c r="D1829" t="str">
        <f t="shared" si="1474"/>
        <v xml:space="preserve">    "nextInstruction":  "No Blue",</v>
      </c>
    </row>
    <row r="1830" spans="1:4" x14ac:dyDescent="0.55000000000000004">
      <c r="A1830" t="s">
        <v>765</v>
      </c>
      <c r="B1830">
        <f>VLOOKUP(B1827,Tabelle3!$A$2:$E$33,4,FALSE)</f>
        <v>-4</v>
      </c>
      <c r="D1830" t="str">
        <f t="shared" ref="D1830:D1893" si="1495">IF(ISNUMBER(B1830),(A1830&amp;B1830),"")</f>
        <v xml:space="preserve">    "damageModifier": -4</v>
      </c>
    </row>
    <row r="1831" spans="1:4" x14ac:dyDescent="0.55000000000000004">
      <c r="A1831" t="s">
        <v>6</v>
      </c>
      <c r="D1831" t="str">
        <f t="shared" ref="D1831:D1894" si="1496">A1831</f>
        <v xml:space="preserve">  },</v>
      </c>
    </row>
    <row r="1832" spans="1:4" x14ac:dyDescent="0.55000000000000004">
      <c r="A1832" t="s">
        <v>313</v>
      </c>
      <c r="D1832" t="str">
        <f t="shared" si="1496"/>
        <v xml:space="preserve">  "26-14": {</v>
      </c>
    </row>
    <row r="1833" spans="1:4" x14ac:dyDescent="0.55000000000000004">
      <c r="A1833" t="s">
        <v>63</v>
      </c>
      <c r="B1833">
        <f t="shared" ref="B1833" si="1497">_xlfn.NUMBERVALUE(RIGHT(A1833,2))</f>
        <v>17</v>
      </c>
      <c r="D1833" t="str">
        <f t="shared" ref="D1833:D1896" si="1498">A1833&amp;","</f>
        <v xml:space="preserve">    "resultPage": 17,</v>
      </c>
    </row>
    <row r="1834" spans="1:4" x14ac:dyDescent="0.55000000000000004">
      <c r="A1834" t="s">
        <v>763</v>
      </c>
      <c r="B1834" t="str">
        <f>VLOOKUP(B1833,Tabelle3!$A$2:$E$33,3,FALSE)</f>
        <v>Blocking High</v>
      </c>
      <c r="C1834" t="s">
        <v>762</v>
      </c>
      <c r="D1834" t="str">
        <f t="shared" ref="D1834" si="1499">_xlfn.CONCAT(A1834:C1834)</f>
        <v xml:space="preserve">    "message":  "Blocking High",</v>
      </c>
    </row>
    <row r="1835" spans="1:4" x14ac:dyDescent="0.55000000000000004">
      <c r="A1835" t="s">
        <v>764</v>
      </c>
      <c r="B1835" t="str">
        <f>VLOOKUP(B1833,Tabelle3!$A$2:$E$33,5,FALSE)</f>
        <v>No Blue</v>
      </c>
      <c r="C1835" t="s">
        <v>762</v>
      </c>
      <c r="D1835" t="str">
        <f t="shared" si="1474"/>
        <v xml:space="preserve">    "nextInstruction":  "No Blue",</v>
      </c>
    </row>
    <row r="1836" spans="1:4" x14ac:dyDescent="0.55000000000000004">
      <c r="A1836" t="s">
        <v>765</v>
      </c>
      <c r="B1836">
        <f>VLOOKUP(B1833,Tabelle3!$A$2:$E$33,4,FALSE)</f>
        <v>-4</v>
      </c>
      <c r="D1836" t="str">
        <f t="shared" ref="D1836:D1899" si="1500">IF(ISNUMBER(B1836),(A1836&amp;B1836),"")</f>
        <v xml:space="preserve">    "damageModifier": -4</v>
      </c>
    </row>
    <row r="1837" spans="1:4" x14ac:dyDescent="0.55000000000000004">
      <c r="A1837" t="s">
        <v>6</v>
      </c>
      <c r="D1837" t="str">
        <f t="shared" ref="D1837:D1900" si="1501">A1837</f>
        <v xml:space="preserve">  },</v>
      </c>
    </row>
    <row r="1838" spans="1:4" x14ac:dyDescent="0.55000000000000004">
      <c r="A1838" t="s">
        <v>314</v>
      </c>
      <c r="D1838" t="str">
        <f t="shared" si="1501"/>
        <v xml:space="preserve">  "26-16": {</v>
      </c>
    </row>
    <row r="1839" spans="1:4" x14ac:dyDescent="0.55000000000000004">
      <c r="A1839" t="s">
        <v>15</v>
      </c>
      <c r="B1839">
        <f t="shared" ref="B1839" si="1502">_xlfn.NUMBERVALUE(RIGHT(A1839,2))</f>
        <v>57</v>
      </c>
      <c r="D1839" t="str">
        <f t="shared" ref="D1839:D1902" si="1503">A1839&amp;","</f>
        <v xml:space="preserve">    "resultPage": 57,</v>
      </c>
    </row>
    <row r="1840" spans="1:4" x14ac:dyDescent="0.55000000000000004">
      <c r="A1840" t="s">
        <v>763</v>
      </c>
      <c r="B1840" t="str">
        <f>VLOOKUP(B1839,Tabelle3!$A$2:$E$33,3,FALSE)</f>
        <v>Extended Range Blocking</v>
      </c>
      <c r="C1840" t="s">
        <v>762</v>
      </c>
      <c r="D1840" t="str">
        <f t="shared" ref="D1840" si="1504">_xlfn.CONCAT(A1840:C1840)</f>
        <v xml:space="preserve">    "message":  "Extended Range Blocking",</v>
      </c>
    </row>
    <row r="1841" spans="1:4" x14ac:dyDescent="0.55000000000000004">
      <c r="A1841" t="s">
        <v>764</v>
      </c>
      <c r="B1841" t="str">
        <f>VLOOKUP(B1839,Tabelle3!$A$2:$E$33,5,FALSE)</f>
        <v>Only Extended Range</v>
      </c>
      <c r="C1841" t="s">
        <v>762</v>
      </c>
      <c r="D1841" t="str">
        <f t="shared" si="1474"/>
        <v xml:space="preserve">    "nextInstruction":  "Only Extended Range",</v>
      </c>
    </row>
    <row r="1842" spans="1:4" x14ac:dyDescent="0.55000000000000004">
      <c r="A1842" t="s">
        <v>765</v>
      </c>
      <c r="B1842" t="str">
        <f>VLOOKUP(B1839,Tabelle3!$A$2:$E$33,4,FALSE)</f>
        <v>""</v>
      </c>
      <c r="D1842" t="str">
        <f t="shared" ref="D1842:D1905" si="1505">IF(ISNUMBER(B1842),(A1842&amp;B1842),"")</f>
        <v/>
      </c>
    </row>
    <row r="1843" spans="1:4" x14ac:dyDescent="0.55000000000000004">
      <c r="A1843" t="s">
        <v>6</v>
      </c>
      <c r="D1843" t="str">
        <f t="shared" ref="D1843:D1906" si="1506">A1843</f>
        <v xml:space="preserve">  },</v>
      </c>
    </row>
    <row r="1844" spans="1:4" x14ac:dyDescent="0.55000000000000004">
      <c r="A1844" t="s">
        <v>315</v>
      </c>
      <c r="D1844" t="str">
        <f t="shared" si="1506"/>
        <v xml:space="preserve">  "26-18": {</v>
      </c>
    </row>
    <row r="1845" spans="1:4" x14ac:dyDescent="0.55000000000000004">
      <c r="A1845" t="s">
        <v>63</v>
      </c>
      <c r="B1845">
        <f t="shared" ref="B1845" si="1507">_xlfn.NUMBERVALUE(RIGHT(A1845,2))</f>
        <v>17</v>
      </c>
      <c r="D1845" t="str">
        <f t="shared" ref="D1845:D1908" si="1508">A1845&amp;","</f>
        <v xml:space="preserve">    "resultPage": 17,</v>
      </c>
    </row>
    <row r="1846" spans="1:4" x14ac:dyDescent="0.55000000000000004">
      <c r="A1846" t="s">
        <v>763</v>
      </c>
      <c r="B1846" t="str">
        <f>VLOOKUP(B1845,Tabelle3!$A$2:$E$33,3,FALSE)</f>
        <v>Blocking High</v>
      </c>
      <c r="C1846" t="s">
        <v>762</v>
      </c>
      <c r="D1846" t="str">
        <f t="shared" ref="D1846" si="1509">_xlfn.CONCAT(A1846:C1846)</f>
        <v xml:space="preserve">    "message":  "Blocking High",</v>
      </c>
    </row>
    <row r="1847" spans="1:4" x14ac:dyDescent="0.55000000000000004">
      <c r="A1847" t="s">
        <v>764</v>
      </c>
      <c r="B1847" t="str">
        <f>VLOOKUP(B1845,Tabelle3!$A$2:$E$33,5,FALSE)</f>
        <v>No Blue</v>
      </c>
      <c r="C1847" t="s">
        <v>762</v>
      </c>
      <c r="D1847" t="str">
        <f t="shared" si="1474"/>
        <v xml:space="preserve">    "nextInstruction":  "No Blue",</v>
      </c>
    </row>
    <row r="1848" spans="1:4" x14ac:dyDescent="0.55000000000000004">
      <c r="A1848" t="s">
        <v>765</v>
      </c>
      <c r="B1848">
        <f>VLOOKUP(B1845,Tabelle3!$A$2:$E$33,4,FALSE)</f>
        <v>-4</v>
      </c>
      <c r="D1848" t="str">
        <f t="shared" ref="D1848:D1911" si="1510">IF(ISNUMBER(B1848),(A1848&amp;B1848),"")</f>
        <v xml:space="preserve">    "damageModifier": -4</v>
      </c>
    </row>
    <row r="1849" spans="1:4" x14ac:dyDescent="0.55000000000000004">
      <c r="A1849" t="s">
        <v>6</v>
      </c>
      <c r="D1849" t="str">
        <f t="shared" ref="D1849:D1912" si="1511">A1849</f>
        <v xml:space="preserve">  },</v>
      </c>
    </row>
    <row r="1850" spans="1:4" x14ac:dyDescent="0.55000000000000004">
      <c r="A1850" t="s">
        <v>316</v>
      </c>
      <c r="D1850" t="str">
        <f t="shared" si="1511"/>
        <v xml:space="preserve">  "26-20": {</v>
      </c>
    </row>
    <row r="1851" spans="1:4" x14ac:dyDescent="0.55000000000000004">
      <c r="A1851" t="s">
        <v>63</v>
      </c>
      <c r="B1851">
        <f t="shared" ref="B1851" si="1512">_xlfn.NUMBERVALUE(RIGHT(A1851,2))</f>
        <v>17</v>
      </c>
      <c r="D1851" t="str">
        <f t="shared" ref="D1851:D1914" si="1513">A1851&amp;","</f>
        <v xml:space="preserve">    "resultPage": 17,</v>
      </c>
    </row>
    <row r="1852" spans="1:4" x14ac:dyDescent="0.55000000000000004">
      <c r="A1852" t="s">
        <v>763</v>
      </c>
      <c r="B1852" t="str">
        <f>VLOOKUP(B1851,Tabelle3!$A$2:$E$33,3,FALSE)</f>
        <v>Blocking High</v>
      </c>
      <c r="C1852" t="s">
        <v>762</v>
      </c>
      <c r="D1852" t="str">
        <f t="shared" ref="D1852" si="1514">_xlfn.CONCAT(A1852:C1852)</f>
        <v xml:space="preserve">    "message":  "Blocking High",</v>
      </c>
    </row>
    <row r="1853" spans="1:4" x14ac:dyDescent="0.55000000000000004">
      <c r="A1853" t="s">
        <v>764</v>
      </c>
      <c r="B1853" t="str">
        <f>VLOOKUP(B1851,Tabelle3!$A$2:$E$33,5,FALSE)</f>
        <v>No Blue</v>
      </c>
      <c r="C1853" t="s">
        <v>762</v>
      </c>
      <c r="D1853" t="str">
        <f t="shared" si="1474"/>
        <v xml:space="preserve">    "nextInstruction":  "No Blue",</v>
      </c>
    </row>
    <row r="1854" spans="1:4" x14ac:dyDescent="0.55000000000000004">
      <c r="A1854" t="s">
        <v>765</v>
      </c>
      <c r="B1854">
        <f>VLOOKUP(B1851,Tabelle3!$A$2:$E$33,4,FALSE)</f>
        <v>-4</v>
      </c>
      <c r="D1854" t="str">
        <f t="shared" ref="D1854:D1917" si="1515">IF(ISNUMBER(B1854),(A1854&amp;B1854),"")</f>
        <v xml:space="preserve">    "damageModifier": -4</v>
      </c>
    </row>
    <row r="1855" spans="1:4" x14ac:dyDescent="0.55000000000000004">
      <c r="A1855" t="s">
        <v>6</v>
      </c>
      <c r="D1855" t="str">
        <f t="shared" ref="D1855:D1918" si="1516">A1855</f>
        <v xml:space="preserve">  },</v>
      </c>
    </row>
    <row r="1856" spans="1:4" x14ac:dyDescent="0.55000000000000004">
      <c r="A1856" t="s">
        <v>317</v>
      </c>
      <c r="D1856" t="str">
        <f t="shared" si="1516"/>
        <v xml:space="preserve">  "26-22": {</v>
      </c>
    </row>
    <row r="1857" spans="1:4" x14ac:dyDescent="0.55000000000000004">
      <c r="A1857" t="s">
        <v>63</v>
      </c>
      <c r="B1857">
        <f t="shared" ref="B1857" si="1517">_xlfn.NUMBERVALUE(RIGHT(A1857,2))</f>
        <v>17</v>
      </c>
      <c r="D1857" t="str">
        <f t="shared" ref="D1857:D1920" si="1518">A1857&amp;","</f>
        <v xml:space="preserve">    "resultPage": 17,</v>
      </c>
    </row>
    <row r="1858" spans="1:4" x14ac:dyDescent="0.55000000000000004">
      <c r="A1858" t="s">
        <v>763</v>
      </c>
      <c r="B1858" t="str">
        <f>VLOOKUP(B1857,Tabelle3!$A$2:$E$33,3,FALSE)</f>
        <v>Blocking High</v>
      </c>
      <c r="C1858" t="s">
        <v>762</v>
      </c>
      <c r="D1858" t="str">
        <f t="shared" ref="D1858" si="1519">_xlfn.CONCAT(A1858:C1858)</f>
        <v xml:space="preserve">    "message":  "Blocking High",</v>
      </c>
    </row>
    <row r="1859" spans="1:4" x14ac:dyDescent="0.55000000000000004">
      <c r="A1859" t="s">
        <v>764</v>
      </c>
      <c r="B1859" t="str">
        <f>VLOOKUP(B1857,Tabelle3!$A$2:$E$33,5,FALSE)</f>
        <v>No Blue</v>
      </c>
      <c r="C1859" t="s">
        <v>762</v>
      </c>
      <c r="D1859" t="str">
        <f t="shared" si="1474"/>
        <v xml:space="preserve">    "nextInstruction":  "No Blue",</v>
      </c>
    </row>
    <row r="1860" spans="1:4" x14ac:dyDescent="0.55000000000000004">
      <c r="A1860" t="s">
        <v>765</v>
      </c>
      <c r="B1860">
        <f>VLOOKUP(B1857,Tabelle3!$A$2:$E$33,4,FALSE)</f>
        <v>-4</v>
      </c>
      <c r="D1860" t="str">
        <f t="shared" ref="D1860:D1923" si="1520">IF(ISNUMBER(B1860),(A1860&amp;B1860),"")</f>
        <v xml:space="preserve">    "damageModifier": -4</v>
      </c>
    </row>
    <row r="1861" spans="1:4" x14ac:dyDescent="0.55000000000000004">
      <c r="A1861" t="s">
        <v>6</v>
      </c>
      <c r="D1861" t="str">
        <f t="shared" ref="D1861:D1924" si="1521">A1861</f>
        <v xml:space="preserve">  },</v>
      </c>
    </row>
    <row r="1862" spans="1:4" x14ac:dyDescent="0.55000000000000004">
      <c r="A1862" t="s">
        <v>318</v>
      </c>
      <c r="D1862" t="str">
        <f t="shared" si="1521"/>
        <v xml:space="preserve">  "26-24": {</v>
      </c>
    </row>
    <row r="1863" spans="1:4" x14ac:dyDescent="0.55000000000000004">
      <c r="A1863" t="s">
        <v>63</v>
      </c>
      <c r="B1863">
        <f t="shared" ref="B1863" si="1522">_xlfn.NUMBERVALUE(RIGHT(A1863,2))</f>
        <v>17</v>
      </c>
      <c r="D1863" t="str">
        <f t="shared" ref="D1863:D1926" si="1523">A1863&amp;","</f>
        <v xml:space="preserve">    "resultPage": 17,</v>
      </c>
    </row>
    <row r="1864" spans="1:4" x14ac:dyDescent="0.55000000000000004">
      <c r="A1864" t="s">
        <v>763</v>
      </c>
      <c r="B1864" t="str">
        <f>VLOOKUP(B1863,Tabelle3!$A$2:$E$33,3,FALSE)</f>
        <v>Blocking High</v>
      </c>
      <c r="C1864" t="s">
        <v>762</v>
      </c>
      <c r="D1864" t="str">
        <f t="shared" ref="D1864" si="1524">_xlfn.CONCAT(A1864:C1864)</f>
        <v xml:space="preserve">    "message":  "Blocking High",</v>
      </c>
    </row>
    <row r="1865" spans="1:4" x14ac:dyDescent="0.55000000000000004">
      <c r="A1865" t="s">
        <v>764</v>
      </c>
      <c r="B1865" t="str">
        <f>VLOOKUP(B1863,Tabelle3!$A$2:$E$33,5,FALSE)</f>
        <v>No Blue</v>
      </c>
      <c r="C1865" t="s">
        <v>762</v>
      </c>
      <c r="D1865" t="str">
        <f t="shared" si="1474"/>
        <v xml:space="preserve">    "nextInstruction":  "No Blue",</v>
      </c>
    </row>
    <row r="1866" spans="1:4" x14ac:dyDescent="0.55000000000000004">
      <c r="A1866" t="s">
        <v>765</v>
      </c>
      <c r="B1866">
        <f>VLOOKUP(B1863,Tabelle3!$A$2:$E$33,4,FALSE)</f>
        <v>-4</v>
      </c>
      <c r="D1866" t="str">
        <f t="shared" ref="D1866:D1929" si="1525">IF(ISNUMBER(B1866),(A1866&amp;B1866),"")</f>
        <v xml:space="preserve">    "damageModifier": -4</v>
      </c>
    </row>
    <row r="1867" spans="1:4" x14ac:dyDescent="0.55000000000000004">
      <c r="A1867" t="s">
        <v>6</v>
      </c>
      <c r="D1867" t="str">
        <f t="shared" ref="D1867:D1930" si="1526">A1867</f>
        <v xml:space="preserve">  },</v>
      </c>
    </row>
    <row r="1868" spans="1:4" x14ac:dyDescent="0.55000000000000004">
      <c r="A1868" t="s">
        <v>319</v>
      </c>
      <c r="D1868" t="str">
        <f t="shared" si="1526"/>
        <v xml:space="preserve">  "26-26": {</v>
      </c>
    </row>
    <row r="1869" spans="1:4" x14ac:dyDescent="0.55000000000000004">
      <c r="A1869" t="s">
        <v>35</v>
      </c>
      <c r="B1869">
        <f t="shared" ref="B1869" si="1527">_xlfn.NUMBERVALUE(RIGHT(A1869,2))</f>
        <v>59</v>
      </c>
      <c r="D1869" t="str">
        <f t="shared" ref="D1869:D1932" si="1528">A1869&amp;","</f>
        <v xml:space="preserve">    "resultPage": 59,</v>
      </c>
    </row>
    <row r="1870" spans="1:4" x14ac:dyDescent="0.55000000000000004">
      <c r="A1870" t="s">
        <v>763</v>
      </c>
      <c r="B1870" t="str">
        <f>VLOOKUP(B1869,Tabelle3!$A$2:$E$33,3,FALSE)</f>
        <v>Pushed off Balance</v>
      </c>
      <c r="C1870" t="s">
        <v>762</v>
      </c>
      <c r="D1870" t="str">
        <f t="shared" ref="D1870:D1931" si="1529">_xlfn.CONCAT(A1870:C1870)</f>
        <v xml:space="preserve">    "message":  "Pushed off Balance",</v>
      </c>
    </row>
    <row r="1871" spans="1:4" x14ac:dyDescent="0.55000000000000004">
      <c r="A1871" t="s">
        <v>764</v>
      </c>
      <c r="B1871" t="str">
        <f>VLOOKUP(B1869,Tabelle3!$A$2:$E$33,5,FALSE)</f>
        <v>Only Green Only Yellow</v>
      </c>
      <c r="C1871" t="s">
        <v>762</v>
      </c>
      <c r="D1871" t="str">
        <f t="shared" si="1529"/>
        <v xml:space="preserve">    "nextInstruction":  "Only Green Only Yellow",</v>
      </c>
    </row>
    <row r="1872" spans="1:4" x14ac:dyDescent="0.55000000000000004">
      <c r="A1872" t="s">
        <v>765</v>
      </c>
      <c r="B1872">
        <f>VLOOKUP(B1869,Tabelle3!$A$2:$E$33,4,FALSE)</f>
        <v>0</v>
      </c>
      <c r="D1872" t="str">
        <f t="shared" ref="D1872:D1935" si="1530">IF(ISNUMBER(B1872),(A1872&amp;B1872),"")</f>
        <v xml:space="preserve">    "damageModifier": 0</v>
      </c>
    </row>
    <row r="1873" spans="1:4" x14ac:dyDescent="0.55000000000000004">
      <c r="A1873" t="s">
        <v>6</v>
      </c>
      <c r="D1873" t="str">
        <f t="shared" ref="D1873:D1936" si="1531">A1873</f>
        <v xml:space="preserve">  },</v>
      </c>
    </row>
    <row r="1874" spans="1:4" x14ac:dyDescent="0.55000000000000004">
      <c r="A1874" t="s">
        <v>320</v>
      </c>
      <c r="D1874" t="str">
        <f t="shared" si="1531"/>
        <v xml:space="preserve">  "26-28": {</v>
      </c>
    </row>
    <row r="1875" spans="1:4" x14ac:dyDescent="0.55000000000000004">
      <c r="A1875" t="s">
        <v>20</v>
      </c>
      <c r="B1875">
        <f t="shared" ref="B1875" si="1532">_xlfn.NUMBERVALUE(RIGHT(A1875,2))</f>
        <v>53</v>
      </c>
      <c r="D1875" t="str">
        <f t="shared" ref="D1875:D1938" si="1533">A1875&amp;","</f>
        <v xml:space="preserve">    "resultPage": 53,</v>
      </c>
    </row>
    <row r="1876" spans="1:4" x14ac:dyDescent="0.55000000000000004">
      <c r="A1876" t="s">
        <v>763</v>
      </c>
      <c r="B1876" t="str">
        <f>VLOOKUP(B1875,Tabelle3!$A$2:$E$33,3,FALSE)</f>
        <v>Body Wound</v>
      </c>
      <c r="C1876" t="s">
        <v>762</v>
      </c>
      <c r="D1876" t="str">
        <f t="shared" ref="D1876" si="1534">_xlfn.CONCAT(A1876:C1876)</f>
        <v xml:space="preserve">    "message":  "Body Wound",</v>
      </c>
    </row>
    <row r="1877" spans="1:4" x14ac:dyDescent="0.55000000000000004">
      <c r="A1877" t="s">
        <v>764</v>
      </c>
      <c r="B1877" t="str">
        <f>VLOOKUP(B1875,Tabelle3!$A$2:$E$33,5,FALSE)</f>
        <v>No Red No Orange</v>
      </c>
      <c r="C1877" t="s">
        <v>762</v>
      </c>
      <c r="D1877" t="str">
        <f t="shared" si="1529"/>
        <v xml:space="preserve">    "nextInstruction":  "No Red No Orange",</v>
      </c>
    </row>
    <row r="1878" spans="1:4" x14ac:dyDescent="0.55000000000000004">
      <c r="A1878" t="s">
        <v>765</v>
      </c>
      <c r="B1878">
        <f>VLOOKUP(B1875,Tabelle3!$A$2:$E$33,4,FALSE)</f>
        <v>5</v>
      </c>
      <c r="D1878" t="str">
        <f t="shared" ref="D1878:D1941" si="1535">IF(ISNUMBER(B1878),(A1878&amp;B1878),"")</f>
        <v xml:space="preserve">    "damageModifier": 5</v>
      </c>
    </row>
    <row r="1879" spans="1:4" x14ac:dyDescent="0.55000000000000004">
      <c r="A1879" t="s">
        <v>6</v>
      </c>
      <c r="D1879" t="str">
        <f t="shared" ref="D1879:D1942" si="1536">A1879</f>
        <v xml:space="preserve">  },</v>
      </c>
    </row>
    <row r="1880" spans="1:4" x14ac:dyDescent="0.55000000000000004">
      <c r="A1880" t="s">
        <v>321</v>
      </c>
      <c r="D1880" t="str">
        <f t="shared" si="1536"/>
        <v xml:space="preserve">  "26-30": {</v>
      </c>
    </row>
    <row r="1881" spans="1:4" x14ac:dyDescent="0.55000000000000004">
      <c r="A1881" t="s">
        <v>63</v>
      </c>
      <c r="B1881">
        <f t="shared" ref="B1881" si="1537">_xlfn.NUMBERVALUE(RIGHT(A1881,2))</f>
        <v>17</v>
      </c>
      <c r="D1881" t="str">
        <f t="shared" ref="D1881:D1944" si="1538">A1881&amp;","</f>
        <v xml:space="preserve">    "resultPage": 17,</v>
      </c>
    </row>
    <row r="1882" spans="1:4" x14ac:dyDescent="0.55000000000000004">
      <c r="A1882" t="s">
        <v>763</v>
      </c>
      <c r="B1882" t="str">
        <f>VLOOKUP(B1881,Tabelle3!$A$2:$E$33,3,FALSE)</f>
        <v>Blocking High</v>
      </c>
      <c r="C1882" t="s">
        <v>762</v>
      </c>
      <c r="D1882" t="str">
        <f t="shared" ref="D1882" si="1539">_xlfn.CONCAT(A1882:C1882)</f>
        <v xml:space="preserve">    "message":  "Blocking High",</v>
      </c>
    </row>
    <row r="1883" spans="1:4" x14ac:dyDescent="0.55000000000000004">
      <c r="A1883" t="s">
        <v>764</v>
      </c>
      <c r="B1883" t="str">
        <f>VLOOKUP(B1881,Tabelle3!$A$2:$E$33,5,FALSE)</f>
        <v>No Blue</v>
      </c>
      <c r="C1883" t="s">
        <v>762</v>
      </c>
      <c r="D1883" t="str">
        <f t="shared" si="1529"/>
        <v xml:space="preserve">    "nextInstruction":  "No Blue",</v>
      </c>
    </row>
    <row r="1884" spans="1:4" x14ac:dyDescent="0.55000000000000004">
      <c r="A1884" t="s">
        <v>765</v>
      </c>
      <c r="B1884">
        <f>VLOOKUP(B1881,Tabelle3!$A$2:$E$33,4,FALSE)</f>
        <v>-4</v>
      </c>
      <c r="D1884" t="str">
        <f t="shared" ref="D1884:D1947" si="1540">IF(ISNUMBER(B1884),(A1884&amp;B1884),"")</f>
        <v xml:space="preserve">    "damageModifier": -4</v>
      </c>
    </row>
    <row r="1885" spans="1:4" x14ac:dyDescent="0.55000000000000004">
      <c r="A1885" t="s">
        <v>6</v>
      </c>
      <c r="D1885" t="str">
        <f t="shared" ref="D1885:D1948" si="1541">A1885</f>
        <v xml:space="preserve">  },</v>
      </c>
    </row>
    <row r="1886" spans="1:4" x14ac:dyDescent="0.55000000000000004">
      <c r="A1886" t="s">
        <v>322</v>
      </c>
      <c r="D1886" t="str">
        <f t="shared" si="1541"/>
        <v xml:space="preserve">  "26-32": {</v>
      </c>
    </row>
    <row r="1887" spans="1:4" x14ac:dyDescent="0.55000000000000004">
      <c r="A1887" t="s">
        <v>63</v>
      </c>
      <c r="B1887">
        <f t="shared" ref="B1887" si="1542">_xlfn.NUMBERVALUE(RIGHT(A1887,2))</f>
        <v>17</v>
      </c>
      <c r="D1887" t="str">
        <f t="shared" ref="D1887:D1950" si="1543">A1887&amp;","</f>
        <v xml:space="preserve">    "resultPage": 17,</v>
      </c>
    </row>
    <row r="1888" spans="1:4" x14ac:dyDescent="0.55000000000000004">
      <c r="A1888" t="s">
        <v>763</v>
      </c>
      <c r="B1888" t="str">
        <f>VLOOKUP(B1887,Tabelle3!$A$2:$E$33,3,FALSE)</f>
        <v>Blocking High</v>
      </c>
      <c r="C1888" t="s">
        <v>762</v>
      </c>
      <c r="D1888" t="str">
        <f t="shared" ref="D1888" si="1544">_xlfn.CONCAT(A1888:C1888)</f>
        <v xml:space="preserve">    "message":  "Blocking High",</v>
      </c>
    </row>
    <row r="1889" spans="1:4" x14ac:dyDescent="0.55000000000000004">
      <c r="A1889" t="s">
        <v>764</v>
      </c>
      <c r="B1889" t="str">
        <f>VLOOKUP(B1887,Tabelle3!$A$2:$E$33,5,FALSE)</f>
        <v>No Blue</v>
      </c>
      <c r="C1889" t="s">
        <v>762</v>
      </c>
      <c r="D1889" t="str">
        <f t="shared" si="1529"/>
        <v xml:space="preserve">    "nextInstruction":  "No Blue",</v>
      </c>
    </row>
    <row r="1890" spans="1:4" x14ac:dyDescent="0.55000000000000004">
      <c r="A1890" t="s">
        <v>765</v>
      </c>
      <c r="B1890">
        <f>VLOOKUP(B1887,Tabelle3!$A$2:$E$33,4,FALSE)</f>
        <v>-4</v>
      </c>
      <c r="D1890" t="str">
        <f t="shared" ref="D1890:D1953" si="1545">IF(ISNUMBER(B1890),(A1890&amp;B1890),"")</f>
        <v xml:space="preserve">    "damageModifier": -4</v>
      </c>
    </row>
    <row r="1891" spans="1:4" x14ac:dyDescent="0.55000000000000004">
      <c r="A1891" t="s">
        <v>6</v>
      </c>
      <c r="D1891" t="str">
        <f t="shared" ref="D1891:D1954" si="1546">A1891</f>
        <v xml:space="preserve">  },</v>
      </c>
    </row>
    <row r="1892" spans="1:4" x14ac:dyDescent="0.55000000000000004">
      <c r="A1892" t="s">
        <v>323</v>
      </c>
      <c r="D1892" t="str">
        <f t="shared" si="1546"/>
        <v xml:space="preserve">  "26-34": {</v>
      </c>
    </row>
    <row r="1893" spans="1:4" x14ac:dyDescent="0.55000000000000004">
      <c r="A1893" t="s">
        <v>133</v>
      </c>
      <c r="B1893">
        <f t="shared" ref="B1893" si="1547">_xlfn.NUMBERVALUE(RIGHT(A1893,2))</f>
        <v>51</v>
      </c>
      <c r="D1893" t="str">
        <f t="shared" ref="D1893:D1956" si="1548">A1893&amp;","</f>
        <v xml:space="preserve">    "resultPage": 51,</v>
      </c>
    </row>
    <row r="1894" spans="1:4" x14ac:dyDescent="0.55000000000000004">
      <c r="A1894" t="s">
        <v>763</v>
      </c>
      <c r="B1894" t="str">
        <f>VLOOKUP(B1893,Tabelle3!$A$2:$E$33,3,FALSE)</f>
        <v>Kicked Off Balance</v>
      </c>
      <c r="C1894" t="s">
        <v>762</v>
      </c>
      <c r="D1894" t="str">
        <f t="shared" ref="D1894" si="1549">_xlfn.CONCAT(A1894:C1894)</f>
        <v xml:space="preserve">    "message":  "Kicked Off Balance",</v>
      </c>
    </row>
    <row r="1895" spans="1:4" x14ac:dyDescent="0.55000000000000004">
      <c r="A1895" t="s">
        <v>764</v>
      </c>
      <c r="B1895" t="str">
        <f>VLOOKUP(B1893,Tabelle3!$A$2:$E$33,5,FALSE)</f>
        <v>Only Green Only Yellow</v>
      </c>
      <c r="C1895" t="s">
        <v>762</v>
      </c>
      <c r="D1895" t="str">
        <f t="shared" si="1529"/>
        <v xml:space="preserve">    "nextInstruction":  "Only Green Only Yellow",</v>
      </c>
    </row>
    <row r="1896" spans="1:4" x14ac:dyDescent="0.55000000000000004">
      <c r="A1896" t="s">
        <v>765</v>
      </c>
      <c r="B1896">
        <f>VLOOKUP(B1893,Tabelle3!$A$2:$E$33,4,FALSE)</f>
        <v>0</v>
      </c>
      <c r="D1896" t="str">
        <f t="shared" ref="D1896:D1959" si="1550">IF(ISNUMBER(B1896),(A1896&amp;B1896),"")</f>
        <v xml:space="preserve">    "damageModifier": 0</v>
      </c>
    </row>
    <row r="1897" spans="1:4" x14ac:dyDescent="0.55000000000000004">
      <c r="A1897" t="s">
        <v>6</v>
      </c>
      <c r="D1897" t="str">
        <f t="shared" ref="D1897:D1960" si="1551">A1897</f>
        <v xml:space="preserve">  },</v>
      </c>
    </row>
    <row r="1898" spans="1:4" x14ac:dyDescent="0.55000000000000004">
      <c r="A1898" t="s">
        <v>324</v>
      </c>
      <c r="D1898" t="str">
        <f t="shared" si="1551"/>
        <v xml:space="preserve">  "26-36": {</v>
      </c>
    </row>
    <row r="1899" spans="1:4" x14ac:dyDescent="0.55000000000000004">
      <c r="A1899" t="s">
        <v>82</v>
      </c>
      <c r="B1899">
        <f t="shared" ref="B1899" si="1552">_xlfn.NUMBERVALUE(RIGHT(A1899,2))</f>
        <v>55</v>
      </c>
      <c r="D1899" t="str">
        <f t="shared" ref="D1899:D1962" si="1553">A1899&amp;","</f>
        <v xml:space="preserve">    "resultPage": 55,</v>
      </c>
    </row>
    <row r="1900" spans="1:4" x14ac:dyDescent="0.55000000000000004">
      <c r="A1900" t="s">
        <v>763</v>
      </c>
      <c r="B1900" t="str">
        <f>VLOOKUP(B1899,Tabelle3!$A$2:$E$33,3,FALSE)</f>
        <v>Shield Smahed</v>
      </c>
      <c r="C1900" t="s">
        <v>762</v>
      </c>
      <c r="D1900" t="str">
        <f t="shared" ref="D1900" si="1554">_xlfn.CONCAT(A1900:C1900)</f>
        <v xml:space="preserve">    "message":  "Shield Smahed",</v>
      </c>
    </row>
    <row r="1901" spans="1:4" x14ac:dyDescent="0.55000000000000004">
      <c r="A1901" t="s">
        <v>764</v>
      </c>
      <c r="B1901" t="str">
        <f>VLOOKUP(B1899,Tabelle3!$A$2:$E$33,5,FALSE)</f>
        <v>No Blocks for the rest of the game No Protected Attacks for the rest of the game</v>
      </c>
      <c r="C1901" t="s">
        <v>762</v>
      </c>
      <c r="D1901" t="str">
        <f t="shared" si="1529"/>
        <v xml:space="preserve">    "nextInstruction":  "No Blocks for the rest of the game No Protected Attacks for the rest of the game",</v>
      </c>
    </row>
    <row r="1902" spans="1:4" x14ac:dyDescent="0.55000000000000004">
      <c r="A1902" t="s">
        <v>765</v>
      </c>
      <c r="B1902">
        <f>VLOOKUP(B1899,Tabelle3!$A$2:$E$33,4,FALSE)</f>
        <v>0</v>
      </c>
      <c r="D1902" t="str">
        <f t="shared" ref="D1902:D1965" si="1555">IF(ISNUMBER(B1902),(A1902&amp;B1902),"")</f>
        <v xml:space="preserve">    "damageModifier": 0</v>
      </c>
    </row>
    <row r="1903" spans="1:4" x14ac:dyDescent="0.55000000000000004">
      <c r="A1903" t="s">
        <v>6</v>
      </c>
      <c r="D1903" t="str">
        <f t="shared" ref="D1903:D1966" si="1556">A1903</f>
        <v xml:space="preserve">  },</v>
      </c>
    </row>
    <row r="1904" spans="1:4" x14ac:dyDescent="0.55000000000000004">
      <c r="A1904" t="s">
        <v>325</v>
      </c>
      <c r="D1904" t="str">
        <f t="shared" si="1556"/>
        <v xml:space="preserve">  "26-38": {</v>
      </c>
    </row>
    <row r="1905" spans="1:4" x14ac:dyDescent="0.55000000000000004">
      <c r="A1905" t="s">
        <v>63</v>
      </c>
      <c r="B1905">
        <f t="shared" ref="B1905" si="1557">_xlfn.NUMBERVALUE(RIGHT(A1905,2))</f>
        <v>17</v>
      </c>
      <c r="D1905" t="str">
        <f t="shared" ref="D1905:D1968" si="1558">A1905&amp;","</f>
        <v xml:space="preserve">    "resultPage": 17,</v>
      </c>
    </row>
    <row r="1906" spans="1:4" x14ac:dyDescent="0.55000000000000004">
      <c r="A1906" t="s">
        <v>763</v>
      </c>
      <c r="B1906" t="str">
        <f>VLOOKUP(B1905,Tabelle3!$A$2:$E$33,3,FALSE)</f>
        <v>Blocking High</v>
      </c>
      <c r="C1906" t="s">
        <v>762</v>
      </c>
      <c r="D1906" t="str">
        <f t="shared" ref="D1906" si="1559">_xlfn.CONCAT(A1906:C1906)</f>
        <v xml:space="preserve">    "message":  "Blocking High",</v>
      </c>
    </row>
    <row r="1907" spans="1:4" x14ac:dyDescent="0.55000000000000004">
      <c r="A1907" t="s">
        <v>764</v>
      </c>
      <c r="B1907" t="str">
        <f>VLOOKUP(B1905,Tabelle3!$A$2:$E$33,5,FALSE)</f>
        <v>No Blue</v>
      </c>
      <c r="C1907" t="s">
        <v>762</v>
      </c>
      <c r="D1907" t="str">
        <f t="shared" si="1529"/>
        <v xml:space="preserve">    "nextInstruction":  "No Blue",</v>
      </c>
    </row>
    <row r="1908" spans="1:4" x14ac:dyDescent="0.55000000000000004">
      <c r="A1908" t="s">
        <v>765</v>
      </c>
      <c r="B1908">
        <f>VLOOKUP(B1905,Tabelle3!$A$2:$E$33,4,FALSE)</f>
        <v>-4</v>
      </c>
      <c r="D1908" t="str">
        <f t="shared" ref="D1908:D1971" si="1560">IF(ISNUMBER(B1908),(A1908&amp;B1908),"")</f>
        <v xml:space="preserve">    "damageModifier": -4</v>
      </c>
    </row>
    <row r="1909" spans="1:4" x14ac:dyDescent="0.55000000000000004">
      <c r="A1909" t="s">
        <v>6</v>
      </c>
      <c r="D1909" t="str">
        <f t="shared" ref="D1909:D1972" si="1561">A1909</f>
        <v xml:space="preserve">  },</v>
      </c>
    </row>
    <row r="1910" spans="1:4" x14ac:dyDescent="0.55000000000000004">
      <c r="A1910" t="s">
        <v>326</v>
      </c>
      <c r="D1910" t="str">
        <f t="shared" si="1561"/>
        <v xml:space="preserve">  "26-40": {</v>
      </c>
    </row>
    <row r="1911" spans="1:4" x14ac:dyDescent="0.55000000000000004">
      <c r="A1911" t="s">
        <v>138</v>
      </c>
      <c r="B1911">
        <f t="shared" ref="B1911" si="1562">_xlfn.NUMBERVALUE(RIGHT(A1911,2))</f>
        <v>13</v>
      </c>
      <c r="D1911" t="str">
        <f t="shared" ref="D1911:D1974" si="1563">A1911&amp;","</f>
        <v xml:space="preserve">    "resultPage": 13,</v>
      </c>
    </row>
    <row r="1912" spans="1:4" x14ac:dyDescent="0.55000000000000004">
      <c r="A1912" t="s">
        <v>763</v>
      </c>
      <c r="B1912" t="str">
        <f>VLOOKUP(B1911,Tabelle3!$A$2:$E$33,3,FALSE)</f>
        <v>Leg Wound</v>
      </c>
      <c r="C1912" t="s">
        <v>762</v>
      </c>
      <c r="D1912" t="str">
        <f t="shared" ref="D1912" si="1564">_xlfn.CONCAT(A1912:C1912)</f>
        <v xml:space="preserve">    "message":  "Leg Wound",</v>
      </c>
    </row>
    <row r="1913" spans="1:4" x14ac:dyDescent="0.55000000000000004">
      <c r="A1913" t="s">
        <v>764</v>
      </c>
      <c r="B1913" t="str">
        <f>VLOOKUP(B1911,Tabelle3!$A$2:$E$33,5,FALSE)</f>
        <v>No Orange</v>
      </c>
      <c r="C1913" t="s">
        <v>762</v>
      </c>
      <c r="D1913" t="str">
        <f t="shared" si="1529"/>
        <v xml:space="preserve">    "nextInstruction":  "No Orange",</v>
      </c>
    </row>
    <row r="1914" spans="1:4" x14ac:dyDescent="0.55000000000000004">
      <c r="A1914" t="s">
        <v>765</v>
      </c>
      <c r="B1914">
        <f>VLOOKUP(B1911,Tabelle3!$A$2:$E$33,4,FALSE)</f>
        <v>4</v>
      </c>
      <c r="D1914" t="str">
        <f t="shared" ref="D1914:D1977" si="1565">IF(ISNUMBER(B1914),(A1914&amp;B1914),"")</f>
        <v xml:space="preserve">    "damageModifier": 4</v>
      </c>
    </row>
    <row r="1915" spans="1:4" x14ac:dyDescent="0.55000000000000004">
      <c r="A1915" t="s">
        <v>6</v>
      </c>
      <c r="D1915" t="str">
        <f t="shared" ref="D1915:D1978" si="1566">A1915</f>
        <v xml:space="preserve">  },</v>
      </c>
    </row>
    <row r="1916" spans="1:4" x14ac:dyDescent="0.55000000000000004">
      <c r="A1916" t="s">
        <v>327</v>
      </c>
      <c r="D1916" t="str">
        <f t="shared" si="1566"/>
        <v xml:space="preserve">  "26-42": {</v>
      </c>
    </row>
    <row r="1917" spans="1:4" x14ac:dyDescent="0.55000000000000004">
      <c r="A1917" t="s">
        <v>63</v>
      </c>
      <c r="B1917">
        <f t="shared" ref="B1917" si="1567">_xlfn.NUMBERVALUE(RIGHT(A1917,2))</f>
        <v>17</v>
      </c>
      <c r="D1917" t="str">
        <f t="shared" ref="D1917:D1980" si="1568">A1917&amp;","</f>
        <v xml:space="preserve">    "resultPage": 17,</v>
      </c>
    </row>
    <row r="1918" spans="1:4" x14ac:dyDescent="0.55000000000000004">
      <c r="A1918" t="s">
        <v>763</v>
      </c>
      <c r="B1918" t="str">
        <f>VLOOKUP(B1917,Tabelle3!$A$2:$E$33,3,FALSE)</f>
        <v>Blocking High</v>
      </c>
      <c r="C1918" t="s">
        <v>762</v>
      </c>
      <c r="D1918" t="str">
        <f t="shared" ref="D1918" si="1569">_xlfn.CONCAT(A1918:C1918)</f>
        <v xml:space="preserve">    "message":  "Blocking High",</v>
      </c>
    </row>
    <row r="1919" spans="1:4" x14ac:dyDescent="0.55000000000000004">
      <c r="A1919" t="s">
        <v>764</v>
      </c>
      <c r="B1919" t="str">
        <f>VLOOKUP(B1917,Tabelle3!$A$2:$E$33,5,FALSE)</f>
        <v>No Blue</v>
      </c>
      <c r="C1919" t="s">
        <v>762</v>
      </c>
      <c r="D1919" t="str">
        <f t="shared" si="1529"/>
        <v xml:space="preserve">    "nextInstruction":  "No Blue",</v>
      </c>
    </row>
    <row r="1920" spans="1:4" x14ac:dyDescent="0.55000000000000004">
      <c r="A1920" t="s">
        <v>765</v>
      </c>
      <c r="B1920">
        <f>VLOOKUP(B1917,Tabelle3!$A$2:$E$33,4,FALSE)</f>
        <v>-4</v>
      </c>
      <c r="D1920" t="str">
        <f t="shared" ref="D1920:D1983" si="1570">IF(ISNUMBER(B1920),(A1920&amp;B1920),"")</f>
        <v xml:space="preserve">    "damageModifier": -4</v>
      </c>
    </row>
    <row r="1921" spans="1:4" x14ac:dyDescent="0.55000000000000004">
      <c r="A1921" t="s">
        <v>6</v>
      </c>
      <c r="D1921" t="str">
        <f t="shared" ref="D1921:D1984" si="1571">A1921</f>
        <v xml:space="preserve">  },</v>
      </c>
    </row>
    <row r="1922" spans="1:4" x14ac:dyDescent="0.55000000000000004">
      <c r="A1922" t="s">
        <v>328</v>
      </c>
      <c r="D1922" t="str">
        <f t="shared" si="1571"/>
        <v xml:space="preserve">  "26-44": {</v>
      </c>
    </row>
    <row r="1923" spans="1:4" x14ac:dyDescent="0.55000000000000004">
      <c r="A1923" t="s">
        <v>63</v>
      </c>
      <c r="B1923">
        <f t="shared" ref="B1923" si="1572">_xlfn.NUMBERVALUE(RIGHT(A1923,2))</f>
        <v>17</v>
      </c>
      <c r="D1923" t="str">
        <f t="shared" ref="D1923:D1986" si="1573">A1923&amp;","</f>
        <v xml:space="preserve">    "resultPage": 17,</v>
      </c>
    </row>
    <row r="1924" spans="1:4" x14ac:dyDescent="0.55000000000000004">
      <c r="A1924" t="s">
        <v>763</v>
      </c>
      <c r="B1924" t="str">
        <f>VLOOKUP(B1923,Tabelle3!$A$2:$E$33,3,FALSE)</f>
        <v>Blocking High</v>
      </c>
      <c r="C1924" t="s">
        <v>762</v>
      </c>
      <c r="D1924" t="str">
        <f t="shared" ref="D1924" si="1574">_xlfn.CONCAT(A1924:C1924)</f>
        <v xml:space="preserve">    "message":  "Blocking High",</v>
      </c>
    </row>
    <row r="1925" spans="1:4" x14ac:dyDescent="0.55000000000000004">
      <c r="A1925" t="s">
        <v>764</v>
      </c>
      <c r="B1925" t="str">
        <f>VLOOKUP(B1923,Tabelle3!$A$2:$E$33,5,FALSE)</f>
        <v>No Blue</v>
      </c>
      <c r="C1925" t="s">
        <v>762</v>
      </c>
      <c r="D1925" t="str">
        <f t="shared" si="1529"/>
        <v xml:space="preserve">    "nextInstruction":  "No Blue",</v>
      </c>
    </row>
    <row r="1926" spans="1:4" x14ac:dyDescent="0.55000000000000004">
      <c r="A1926" t="s">
        <v>765</v>
      </c>
      <c r="B1926">
        <f>VLOOKUP(B1923,Tabelle3!$A$2:$E$33,4,FALSE)</f>
        <v>-4</v>
      </c>
      <c r="D1926" t="str">
        <f t="shared" ref="D1926:D1989" si="1575">IF(ISNUMBER(B1926),(A1926&amp;B1926),"")</f>
        <v xml:space="preserve">    "damageModifier": -4</v>
      </c>
    </row>
    <row r="1927" spans="1:4" x14ac:dyDescent="0.55000000000000004">
      <c r="A1927" t="s">
        <v>6</v>
      </c>
      <c r="D1927" t="str">
        <f t="shared" ref="D1927:D1990" si="1576">A1927</f>
        <v xml:space="preserve">  },</v>
      </c>
    </row>
    <row r="1928" spans="1:4" x14ac:dyDescent="0.55000000000000004">
      <c r="A1928" t="s">
        <v>329</v>
      </c>
      <c r="D1928" t="str">
        <f t="shared" si="1576"/>
        <v xml:space="preserve">  "26-46": {</v>
      </c>
    </row>
    <row r="1929" spans="1:4" x14ac:dyDescent="0.55000000000000004">
      <c r="A1929" t="s">
        <v>63</v>
      </c>
      <c r="B1929">
        <f t="shared" ref="B1929" si="1577">_xlfn.NUMBERVALUE(RIGHT(A1929,2))</f>
        <v>17</v>
      </c>
      <c r="D1929" t="str">
        <f t="shared" ref="D1929:D1992" si="1578">A1929&amp;","</f>
        <v xml:space="preserve">    "resultPage": 17,</v>
      </c>
    </row>
    <row r="1930" spans="1:4" x14ac:dyDescent="0.55000000000000004">
      <c r="A1930" t="s">
        <v>763</v>
      </c>
      <c r="B1930" t="str">
        <f>VLOOKUP(B1929,Tabelle3!$A$2:$E$33,3,FALSE)</f>
        <v>Blocking High</v>
      </c>
      <c r="C1930" t="s">
        <v>762</v>
      </c>
      <c r="D1930" t="str">
        <f t="shared" ref="D1930" si="1579">_xlfn.CONCAT(A1930:C1930)</f>
        <v xml:space="preserve">    "message":  "Blocking High",</v>
      </c>
    </row>
    <row r="1931" spans="1:4" x14ac:dyDescent="0.55000000000000004">
      <c r="A1931" t="s">
        <v>764</v>
      </c>
      <c r="B1931" t="str">
        <f>VLOOKUP(B1929,Tabelle3!$A$2:$E$33,5,FALSE)</f>
        <v>No Blue</v>
      </c>
      <c r="C1931" t="s">
        <v>762</v>
      </c>
      <c r="D1931" t="str">
        <f t="shared" si="1529"/>
        <v xml:space="preserve">    "nextInstruction":  "No Blue",</v>
      </c>
    </row>
    <row r="1932" spans="1:4" x14ac:dyDescent="0.55000000000000004">
      <c r="A1932" t="s">
        <v>765</v>
      </c>
      <c r="B1932">
        <f>VLOOKUP(B1929,Tabelle3!$A$2:$E$33,4,FALSE)</f>
        <v>-4</v>
      </c>
      <c r="D1932" t="str">
        <f t="shared" ref="D1932:D1995" si="1580">IF(ISNUMBER(B1932),(A1932&amp;B1932),"")</f>
        <v xml:space="preserve">    "damageModifier": -4</v>
      </c>
    </row>
    <row r="1933" spans="1:4" x14ac:dyDescent="0.55000000000000004">
      <c r="A1933" t="s">
        <v>6</v>
      </c>
      <c r="D1933" t="str">
        <f t="shared" ref="D1933:D1996" si="1581">A1933</f>
        <v xml:space="preserve">  },</v>
      </c>
    </row>
    <row r="1934" spans="1:4" x14ac:dyDescent="0.55000000000000004">
      <c r="A1934" t="s">
        <v>330</v>
      </c>
      <c r="D1934" t="str">
        <f t="shared" si="1581"/>
        <v xml:space="preserve">  "26-48": {</v>
      </c>
    </row>
    <row r="1935" spans="1:4" x14ac:dyDescent="0.55000000000000004">
      <c r="A1935" t="s">
        <v>63</v>
      </c>
      <c r="B1935">
        <f t="shared" ref="B1935" si="1582">_xlfn.NUMBERVALUE(RIGHT(A1935,2))</f>
        <v>17</v>
      </c>
      <c r="D1935" t="str">
        <f t="shared" ref="D1935:D1998" si="1583">A1935&amp;","</f>
        <v xml:space="preserve">    "resultPage": 17,</v>
      </c>
    </row>
    <row r="1936" spans="1:4" x14ac:dyDescent="0.55000000000000004">
      <c r="A1936" t="s">
        <v>763</v>
      </c>
      <c r="B1936" t="str">
        <f>VLOOKUP(B1935,Tabelle3!$A$2:$E$33,3,FALSE)</f>
        <v>Blocking High</v>
      </c>
      <c r="C1936" t="s">
        <v>762</v>
      </c>
      <c r="D1936" t="str">
        <f t="shared" ref="D1936:D1997" si="1584">_xlfn.CONCAT(A1936:C1936)</f>
        <v xml:space="preserve">    "message":  "Blocking High",</v>
      </c>
    </row>
    <row r="1937" spans="1:4" x14ac:dyDescent="0.55000000000000004">
      <c r="A1937" t="s">
        <v>764</v>
      </c>
      <c r="B1937" t="str">
        <f>VLOOKUP(B1935,Tabelle3!$A$2:$E$33,5,FALSE)</f>
        <v>No Blue</v>
      </c>
      <c r="C1937" t="s">
        <v>762</v>
      </c>
      <c r="D1937" t="str">
        <f t="shared" si="1584"/>
        <v xml:space="preserve">    "nextInstruction":  "No Blue",</v>
      </c>
    </row>
    <row r="1938" spans="1:4" x14ac:dyDescent="0.55000000000000004">
      <c r="A1938" t="s">
        <v>765</v>
      </c>
      <c r="B1938">
        <f>VLOOKUP(B1935,Tabelle3!$A$2:$E$33,4,FALSE)</f>
        <v>-4</v>
      </c>
      <c r="D1938" t="str">
        <f t="shared" ref="D1938:D2001" si="1585">IF(ISNUMBER(B1938),(A1938&amp;B1938),"")</f>
        <v xml:space="preserve">    "damageModifier": -4</v>
      </c>
    </row>
    <row r="1939" spans="1:4" x14ac:dyDescent="0.55000000000000004">
      <c r="A1939" t="s">
        <v>6</v>
      </c>
      <c r="D1939" t="str">
        <f t="shared" ref="D1939:D2002" si="1586">A1939</f>
        <v xml:space="preserve">  },</v>
      </c>
    </row>
    <row r="1940" spans="1:4" x14ac:dyDescent="0.55000000000000004">
      <c r="A1940" t="s">
        <v>331</v>
      </c>
      <c r="D1940" t="str">
        <f t="shared" si="1586"/>
        <v xml:space="preserve">  "28-4": {</v>
      </c>
    </row>
    <row r="1941" spans="1:4" x14ac:dyDescent="0.55000000000000004">
      <c r="A1941" t="s">
        <v>116</v>
      </c>
      <c r="B1941">
        <f t="shared" ref="B1941" si="1587">_xlfn.NUMBERVALUE(RIGHT(A1941,2))</f>
        <v>3</v>
      </c>
      <c r="D1941" t="str">
        <f t="shared" ref="D1941:D2004" si="1588">A1941&amp;","</f>
        <v xml:space="preserve">    "resultPage": 3,</v>
      </c>
    </row>
    <row r="1942" spans="1:4" x14ac:dyDescent="0.55000000000000004">
      <c r="A1942" t="s">
        <v>763</v>
      </c>
      <c r="B1942" t="str">
        <f>VLOOKUP(B1941,Tabelle3!$A$2:$E$33,3,FALSE)</f>
        <v>Swinging High</v>
      </c>
      <c r="C1942" t="s">
        <v>762</v>
      </c>
      <c r="D1942" t="str">
        <f t="shared" ref="D1942" si="1589">_xlfn.CONCAT(A1942:C1942)</f>
        <v xml:space="preserve">    "message":  "Swinging High",</v>
      </c>
    </row>
    <row r="1943" spans="1:4" x14ac:dyDescent="0.55000000000000004">
      <c r="A1943" t="s">
        <v>764</v>
      </c>
      <c r="B1943" t="str">
        <f>VLOOKUP(B1941,Tabelle3!$A$2:$E$33,5,FALSE)</f>
        <v>No Red</v>
      </c>
      <c r="C1943" t="s">
        <v>762</v>
      </c>
      <c r="D1943" t="str">
        <f t="shared" si="1584"/>
        <v xml:space="preserve">    "nextInstruction":  "No Red",</v>
      </c>
    </row>
    <row r="1944" spans="1:4" x14ac:dyDescent="0.55000000000000004">
      <c r="A1944" t="s">
        <v>765</v>
      </c>
      <c r="B1944" t="str">
        <f>VLOOKUP(B1941,Tabelle3!$A$2:$E$33,4,FALSE)</f>
        <v>""</v>
      </c>
      <c r="D1944" t="str">
        <f t="shared" ref="D1944:D2007" si="1590">IF(ISNUMBER(B1944),(A1944&amp;B1944),"")</f>
        <v/>
      </c>
    </row>
    <row r="1945" spans="1:4" x14ac:dyDescent="0.55000000000000004">
      <c r="A1945" t="s">
        <v>6</v>
      </c>
      <c r="D1945" t="str">
        <f t="shared" ref="D1945:D2008" si="1591">A1945</f>
        <v xml:space="preserve">  },</v>
      </c>
    </row>
    <row r="1946" spans="1:4" x14ac:dyDescent="0.55000000000000004">
      <c r="A1946" t="s">
        <v>332</v>
      </c>
      <c r="D1946" t="str">
        <f t="shared" si="1591"/>
        <v xml:space="preserve">  "28-6": {</v>
      </c>
    </row>
    <row r="1947" spans="1:4" x14ac:dyDescent="0.55000000000000004">
      <c r="A1947" t="s">
        <v>76</v>
      </c>
      <c r="B1947">
        <f t="shared" ref="B1947" si="1592">_xlfn.NUMBERVALUE(RIGHT(A1947,2))</f>
        <v>45</v>
      </c>
      <c r="D1947" t="str">
        <f t="shared" ref="D1947:D2010" si="1593">A1947&amp;","</f>
        <v xml:space="preserve">    "resultPage": 45,</v>
      </c>
    </row>
    <row r="1948" spans="1:4" x14ac:dyDescent="0.55000000000000004">
      <c r="A1948" t="s">
        <v>763</v>
      </c>
      <c r="B1948" t="str">
        <f>VLOOKUP(B1947,Tabelle3!$A$2:$E$33,3,FALSE)</f>
        <v>Parrying High</v>
      </c>
      <c r="C1948" t="s">
        <v>762</v>
      </c>
      <c r="D1948" t="str">
        <f t="shared" ref="D1948" si="1594">_xlfn.CONCAT(A1948:C1948)</f>
        <v xml:space="preserve">    "message":  "Parrying High",</v>
      </c>
    </row>
    <row r="1949" spans="1:4" x14ac:dyDescent="0.55000000000000004">
      <c r="A1949" t="s">
        <v>764</v>
      </c>
      <c r="B1949" t="str">
        <f>VLOOKUP(B1947,Tabelle3!$A$2:$E$33,5,FALSE)</f>
        <v/>
      </c>
      <c r="C1949" t="s">
        <v>762</v>
      </c>
      <c r="D1949" t="str">
        <f t="shared" si="1584"/>
        <v xml:space="preserve">    "nextInstruction":  "",</v>
      </c>
    </row>
    <row r="1950" spans="1:4" x14ac:dyDescent="0.55000000000000004">
      <c r="A1950" t="s">
        <v>765</v>
      </c>
      <c r="B1950">
        <f>VLOOKUP(B1947,Tabelle3!$A$2:$E$33,4,FALSE)</f>
        <v>-4</v>
      </c>
      <c r="D1950" t="str">
        <f t="shared" ref="D1950:D2013" si="1595">IF(ISNUMBER(B1950),(A1950&amp;B1950),"")</f>
        <v xml:space="preserve">    "damageModifier": -4</v>
      </c>
    </row>
    <row r="1951" spans="1:4" x14ac:dyDescent="0.55000000000000004">
      <c r="A1951" t="s">
        <v>6</v>
      </c>
      <c r="D1951" t="str">
        <f t="shared" ref="D1951:D2014" si="1596">A1951</f>
        <v xml:space="preserve">  },</v>
      </c>
    </row>
    <row r="1952" spans="1:4" x14ac:dyDescent="0.55000000000000004">
      <c r="A1952" t="s">
        <v>333</v>
      </c>
      <c r="D1952" t="str">
        <f t="shared" si="1596"/>
        <v xml:space="preserve">  "28-8": {</v>
      </c>
    </row>
    <row r="1953" spans="1:4" x14ac:dyDescent="0.55000000000000004">
      <c r="A1953" t="s">
        <v>116</v>
      </c>
      <c r="B1953">
        <f t="shared" ref="B1953" si="1597">_xlfn.NUMBERVALUE(RIGHT(A1953,2))</f>
        <v>3</v>
      </c>
      <c r="D1953" t="str">
        <f t="shared" ref="D1953:D2016" si="1598">A1953&amp;","</f>
        <v xml:space="preserve">    "resultPage": 3,</v>
      </c>
    </row>
    <row r="1954" spans="1:4" x14ac:dyDescent="0.55000000000000004">
      <c r="A1954" t="s">
        <v>763</v>
      </c>
      <c r="B1954" t="str">
        <f>VLOOKUP(B1953,Tabelle3!$A$2:$E$33,3,FALSE)</f>
        <v>Swinging High</v>
      </c>
      <c r="C1954" t="s">
        <v>762</v>
      </c>
      <c r="D1954" t="str">
        <f t="shared" ref="D1954" si="1599">_xlfn.CONCAT(A1954:C1954)</f>
        <v xml:space="preserve">    "message":  "Swinging High",</v>
      </c>
    </row>
    <row r="1955" spans="1:4" x14ac:dyDescent="0.55000000000000004">
      <c r="A1955" t="s">
        <v>764</v>
      </c>
      <c r="B1955" t="str">
        <f>VLOOKUP(B1953,Tabelle3!$A$2:$E$33,5,FALSE)</f>
        <v>No Red</v>
      </c>
      <c r="C1955" t="s">
        <v>762</v>
      </c>
      <c r="D1955" t="str">
        <f t="shared" si="1584"/>
        <v xml:space="preserve">    "nextInstruction":  "No Red",</v>
      </c>
    </row>
    <row r="1956" spans="1:4" x14ac:dyDescent="0.55000000000000004">
      <c r="A1956" t="s">
        <v>765</v>
      </c>
      <c r="B1956" t="str">
        <f>VLOOKUP(B1953,Tabelle3!$A$2:$E$33,4,FALSE)</f>
        <v>""</v>
      </c>
      <c r="D1956" t="str">
        <f t="shared" ref="D1956:D2019" si="1600">IF(ISNUMBER(B1956),(A1956&amp;B1956),"")</f>
        <v/>
      </c>
    </row>
    <row r="1957" spans="1:4" x14ac:dyDescent="0.55000000000000004">
      <c r="A1957" t="s">
        <v>6</v>
      </c>
      <c r="D1957" t="str">
        <f t="shared" ref="D1957:D2020" si="1601">A1957</f>
        <v xml:space="preserve">  },</v>
      </c>
    </row>
    <row r="1958" spans="1:4" x14ac:dyDescent="0.55000000000000004">
      <c r="A1958" t="s">
        <v>334</v>
      </c>
      <c r="D1958" t="str">
        <f t="shared" si="1601"/>
        <v xml:space="preserve">  "28-10": {</v>
      </c>
    </row>
    <row r="1959" spans="1:4" x14ac:dyDescent="0.55000000000000004">
      <c r="A1959" t="s">
        <v>10</v>
      </c>
      <c r="B1959">
        <f t="shared" ref="B1959" si="1602">_xlfn.NUMBERVALUE(RIGHT(A1959,2))</f>
        <v>31</v>
      </c>
      <c r="D1959" t="str">
        <f t="shared" ref="D1959:D2022" si="1603">A1959&amp;","</f>
        <v xml:space="preserve">    "resultPage": 31,</v>
      </c>
    </row>
    <row r="1960" spans="1:4" x14ac:dyDescent="0.55000000000000004">
      <c r="A1960" t="s">
        <v>763</v>
      </c>
      <c r="B1960" t="str">
        <f>VLOOKUP(B1959,Tabelle3!$A$2:$E$33,3,FALSE)</f>
        <v>Arm Wound</v>
      </c>
      <c r="C1960" t="s">
        <v>762</v>
      </c>
      <c r="D1960" t="str">
        <f t="shared" ref="D1960" si="1604">_xlfn.CONCAT(A1960:C1960)</f>
        <v xml:space="preserve">    "message":  "Arm Wound",</v>
      </c>
    </row>
    <row r="1961" spans="1:4" x14ac:dyDescent="0.55000000000000004">
      <c r="A1961" t="s">
        <v>764</v>
      </c>
      <c r="B1961" t="str">
        <f>VLOOKUP(B1959,Tabelle3!$A$2:$E$33,5,FALSE)</f>
        <v>No Orange</v>
      </c>
      <c r="C1961" t="s">
        <v>762</v>
      </c>
      <c r="D1961" t="str">
        <f t="shared" si="1584"/>
        <v xml:space="preserve">    "nextInstruction":  "No Orange",</v>
      </c>
    </row>
    <row r="1962" spans="1:4" x14ac:dyDescent="0.55000000000000004">
      <c r="A1962" t="s">
        <v>765</v>
      </c>
      <c r="B1962">
        <f>VLOOKUP(B1959,Tabelle3!$A$2:$E$33,4,FALSE)</f>
        <v>3</v>
      </c>
      <c r="D1962" t="str">
        <f t="shared" ref="D1962:D2025" si="1605">IF(ISNUMBER(B1962),(A1962&amp;B1962),"")</f>
        <v xml:space="preserve">    "damageModifier": 3</v>
      </c>
    </row>
    <row r="1963" spans="1:4" x14ac:dyDescent="0.55000000000000004">
      <c r="A1963" t="s">
        <v>6</v>
      </c>
      <c r="D1963" t="str">
        <f t="shared" ref="D1963:D2026" si="1606">A1963</f>
        <v xml:space="preserve">  },</v>
      </c>
    </row>
    <row r="1964" spans="1:4" x14ac:dyDescent="0.55000000000000004">
      <c r="A1964" t="s">
        <v>335</v>
      </c>
      <c r="D1964" t="str">
        <f t="shared" si="1606"/>
        <v xml:space="preserve">  "28-12": {</v>
      </c>
    </row>
    <row r="1965" spans="1:4" x14ac:dyDescent="0.55000000000000004">
      <c r="A1965" t="s">
        <v>10</v>
      </c>
      <c r="B1965">
        <f t="shared" ref="B1965" si="1607">_xlfn.NUMBERVALUE(RIGHT(A1965,2))</f>
        <v>31</v>
      </c>
      <c r="D1965" t="str">
        <f t="shared" ref="D1965:D2028" si="1608">A1965&amp;","</f>
        <v xml:space="preserve">    "resultPage": 31,</v>
      </c>
    </row>
    <row r="1966" spans="1:4" x14ac:dyDescent="0.55000000000000004">
      <c r="A1966" t="s">
        <v>763</v>
      </c>
      <c r="B1966" t="str">
        <f>VLOOKUP(B1965,Tabelle3!$A$2:$E$33,3,FALSE)</f>
        <v>Arm Wound</v>
      </c>
      <c r="C1966" t="s">
        <v>762</v>
      </c>
      <c r="D1966" t="str">
        <f t="shared" ref="D1966" si="1609">_xlfn.CONCAT(A1966:C1966)</f>
        <v xml:space="preserve">    "message":  "Arm Wound",</v>
      </c>
    </row>
    <row r="1967" spans="1:4" x14ac:dyDescent="0.55000000000000004">
      <c r="A1967" t="s">
        <v>764</v>
      </c>
      <c r="B1967" t="str">
        <f>VLOOKUP(B1965,Tabelle3!$A$2:$E$33,5,FALSE)</f>
        <v>No Orange</v>
      </c>
      <c r="C1967" t="s">
        <v>762</v>
      </c>
      <c r="D1967" t="str">
        <f t="shared" si="1584"/>
        <v xml:space="preserve">    "nextInstruction":  "No Orange",</v>
      </c>
    </row>
    <row r="1968" spans="1:4" x14ac:dyDescent="0.55000000000000004">
      <c r="A1968" t="s">
        <v>765</v>
      </c>
      <c r="B1968">
        <f>VLOOKUP(B1965,Tabelle3!$A$2:$E$33,4,FALSE)</f>
        <v>3</v>
      </c>
      <c r="D1968" t="str">
        <f t="shared" ref="D1968:D2031" si="1610">IF(ISNUMBER(B1968),(A1968&amp;B1968),"")</f>
        <v xml:space="preserve">    "damageModifier": 3</v>
      </c>
    </row>
    <row r="1969" spans="1:4" x14ac:dyDescent="0.55000000000000004">
      <c r="A1969" t="s">
        <v>6</v>
      </c>
      <c r="D1969" t="str">
        <f t="shared" ref="D1969:D2032" si="1611">A1969</f>
        <v xml:space="preserve">  },</v>
      </c>
    </row>
    <row r="1970" spans="1:4" x14ac:dyDescent="0.55000000000000004">
      <c r="A1970" t="s">
        <v>336</v>
      </c>
      <c r="D1970" t="str">
        <f t="shared" si="1611"/>
        <v xml:space="preserve">  "28-14": {</v>
      </c>
    </row>
    <row r="1971" spans="1:4" x14ac:dyDescent="0.55000000000000004">
      <c r="A1971" t="s">
        <v>116</v>
      </c>
      <c r="B1971">
        <f t="shared" ref="B1971" si="1612">_xlfn.NUMBERVALUE(RIGHT(A1971,2))</f>
        <v>3</v>
      </c>
      <c r="D1971" t="str">
        <f t="shared" ref="D1971:D2034" si="1613">A1971&amp;","</f>
        <v xml:space="preserve">    "resultPage": 3,</v>
      </c>
    </row>
    <row r="1972" spans="1:4" x14ac:dyDescent="0.55000000000000004">
      <c r="A1972" t="s">
        <v>763</v>
      </c>
      <c r="B1972" t="str">
        <f>VLOOKUP(B1971,Tabelle3!$A$2:$E$33,3,FALSE)</f>
        <v>Swinging High</v>
      </c>
      <c r="C1972" t="s">
        <v>762</v>
      </c>
      <c r="D1972" t="str">
        <f t="shared" ref="D1972" si="1614">_xlfn.CONCAT(A1972:C1972)</f>
        <v xml:space="preserve">    "message":  "Swinging High",</v>
      </c>
    </row>
    <row r="1973" spans="1:4" x14ac:dyDescent="0.55000000000000004">
      <c r="A1973" t="s">
        <v>764</v>
      </c>
      <c r="B1973" t="str">
        <f>VLOOKUP(B1971,Tabelle3!$A$2:$E$33,5,FALSE)</f>
        <v>No Red</v>
      </c>
      <c r="C1973" t="s">
        <v>762</v>
      </c>
      <c r="D1973" t="str">
        <f t="shared" si="1584"/>
        <v xml:space="preserve">    "nextInstruction":  "No Red",</v>
      </c>
    </row>
    <row r="1974" spans="1:4" x14ac:dyDescent="0.55000000000000004">
      <c r="A1974" t="s">
        <v>765</v>
      </c>
      <c r="B1974" t="str">
        <f>VLOOKUP(B1971,Tabelle3!$A$2:$E$33,4,FALSE)</f>
        <v>""</v>
      </c>
      <c r="D1974" t="str">
        <f t="shared" ref="D1974:D2037" si="1615">IF(ISNUMBER(B1974),(A1974&amp;B1974),"")</f>
        <v/>
      </c>
    </row>
    <row r="1975" spans="1:4" x14ac:dyDescent="0.55000000000000004">
      <c r="A1975" t="s">
        <v>6</v>
      </c>
      <c r="D1975" t="str">
        <f t="shared" ref="D1975:D2038" si="1616">A1975</f>
        <v xml:space="preserve">  },</v>
      </c>
    </row>
    <row r="1976" spans="1:4" x14ac:dyDescent="0.55000000000000004">
      <c r="A1976" t="s">
        <v>337</v>
      </c>
      <c r="D1976" t="str">
        <f t="shared" si="1616"/>
        <v xml:space="preserve">  "28-16": {</v>
      </c>
    </row>
    <row r="1977" spans="1:4" x14ac:dyDescent="0.55000000000000004">
      <c r="A1977" t="s">
        <v>125</v>
      </c>
      <c r="B1977">
        <f t="shared" ref="B1977" si="1617">_xlfn.NUMBERVALUE(RIGHT(A1977,2))</f>
        <v>21</v>
      </c>
      <c r="D1977" t="str">
        <f t="shared" ref="D1977:D2040" si="1618">A1977&amp;","</f>
        <v xml:space="preserve">    "resultPage": 21,</v>
      </c>
    </row>
    <row r="1978" spans="1:4" x14ac:dyDescent="0.55000000000000004">
      <c r="A1978" t="s">
        <v>763</v>
      </c>
      <c r="B1978" t="str">
        <f>VLOOKUP(B1977,Tabelle3!$A$2:$E$33,3,FALSE)</f>
        <v>Turned Around</v>
      </c>
      <c r="C1978" t="s">
        <v>762</v>
      </c>
      <c r="D1978" t="str">
        <f t="shared" ref="D1978" si="1619">_xlfn.CONCAT(A1978:C1978)</f>
        <v xml:space="preserve">    "message":  "Turned Around",</v>
      </c>
    </row>
    <row r="1979" spans="1:4" x14ac:dyDescent="0.55000000000000004">
      <c r="A1979" t="s">
        <v>764</v>
      </c>
      <c r="B1979" t="str">
        <f>VLOOKUP(B1977,Tabelle3!$A$2:$E$33,5,FALSE)</f>
        <v>Only Yellow</v>
      </c>
      <c r="C1979" t="s">
        <v>762</v>
      </c>
      <c r="D1979" t="str">
        <f t="shared" si="1584"/>
        <v xml:space="preserve">    "nextInstruction":  "Only Yellow",</v>
      </c>
    </row>
    <row r="1980" spans="1:4" x14ac:dyDescent="0.55000000000000004">
      <c r="A1980" t="s">
        <v>765</v>
      </c>
      <c r="B1980">
        <f>VLOOKUP(B1977,Tabelle3!$A$2:$E$33,4,FALSE)</f>
        <v>0</v>
      </c>
      <c r="D1980" t="str">
        <f t="shared" ref="D1980:D2043" si="1620">IF(ISNUMBER(B1980),(A1980&amp;B1980),"")</f>
        <v xml:space="preserve">    "damageModifier": 0</v>
      </c>
    </row>
    <row r="1981" spans="1:4" x14ac:dyDescent="0.55000000000000004">
      <c r="A1981" t="s">
        <v>6</v>
      </c>
      <c r="D1981" t="str">
        <f t="shared" ref="D1981:D2044" si="1621">A1981</f>
        <v xml:space="preserve">  },</v>
      </c>
    </row>
    <row r="1982" spans="1:4" x14ac:dyDescent="0.55000000000000004">
      <c r="A1982" t="s">
        <v>338</v>
      </c>
      <c r="D1982" t="str">
        <f t="shared" si="1621"/>
        <v xml:space="preserve">  "28-18": {</v>
      </c>
    </row>
    <row r="1983" spans="1:4" x14ac:dyDescent="0.55000000000000004">
      <c r="A1983" t="s">
        <v>116</v>
      </c>
      <c r="B1983">
        <f t="shared" ref="B1983" si="1622">_xlfn.NUMBERVALUE(RIGHT(A1983,2))</f>
        <v>3</v>
      </c>
      <c r="D1983" t="str">
        <f t="shared" ref="D1983:D2046" si="1623">A1983&amp;","</f>
        <v xml:space="preserve">    "resultPage": 3,</v>
      </c>
    </row>
    <row r="1984" spans="1:4" x14ac:dyDescent="0.55000000000000004">
      <c r="A1984" t="s">
        <v>763</v>
      </c>
      <c r="B1984" t="str">
        <f>VLOOKUP(B1983,Tabelle3!$A$2:$E$33,3,FALSE)</f>
        <v>Swinging High</v>
      </c>
      <c r="C1984" t="s">
        <v>762</v>
      </c>
      <c r="D1984" t="str">
        <f t="shared" ref="D1984" si="1624">_xlfn.CONCAT(A1984:C1984)</f>
        <v xml:space="preserve">    "message":  "Swinging High",</v>
      </c>
    </row>
    <row r="1985" spans="1:4" x14ac:dyDescent="0.55000000000000004">
      <c r="A1985" t="s">
        <v>764</v>
      </c>
      <c r="B1985" t="str">
        <f>VLOOKUP(B1983,Tabelle3!$A$2:$E$33,5,FALSE)</f>
        <v>No Red</v>
      </c>
      <c r="C1985" t="s">
        <v>762</v>
      </c>
      <c r="D1985" t="str">
        <f t="shared" si="1584"/>
        <v xml:space="preserve">    "nextInstruction":  "No Red",</v>
      </c>
    </row>
    <row r="1986" spans="1:4" x14ac:dyDescent="0.55000000000000004">
      <c r="A1986" t="s">
        <v>765</v>
      </c>
      <c r="B1986" t="str">
        <f>VLOOKUP(B1983,Tabelle3!$A$2:$E$33,4,FALSE)</f>
        <v>""</v>
      </c>
      <c r="D1986" t="str">
        <f t="shared" ref="D1986:D2049" si="1625">IF(ISNUMBER(B1986),(A1986&amp;B1986),"")</f>
        <v/>
      </c>
    </row>
    <row r="1987" spans="1:4" x14ac:dyDescent="0.55000000000000004">
      <c r="A1987" t="s">
        <v>6</v>
      </c>
      <c r="D1987" t="str">
        <f t="shared" ref="D1987:D2050" si="1626">A1987</f>
        <v xml:space="preserve">  },</v>
      </c>
    </row>
    <row r="1988" spans="1:4" x14ac:dyDescent="0.55000000000000004">
      <c r="A1988" t="s">
        <v>339</v>
      </c>
      <c r="D1988" t="str">
        <f t="shared" si="1626"/>
        <v xml:space="preserve">  "28-20": {</v>
      </c>
    </row>
    <row r="1989" spans="1:4" x14ac:dyDescent="0.55000000000000004">
      <c r="A1989" t="s">
        <v>125</v>
      </c>
      <c r="B1989">
        <f t="shared" ref="B1989" si="1627">_xlfn.NUMBERVALUE(RIGHT(A1989,2))</f>
        <v>21</v>
      </c>
      <c r="D1989" t="str">
        <f t="shared" ref="D1989:D2052" si="1628">A1989&amp;","</f>
        <v xml:space="preserve">    "resultPage": 21,</v>
      </c>
    </row>
    <row r="1990" spans="1:4" x14ac:dyDescent="0.55000000000000004">
      <c r="A1990" t="s">
        <v>763</v>
      </c>
      <c r="B1990" t="str">
        <f>VLOOKUP(B1989,Tabelle3!$A$2:$E$33,3,FALSE)</f>
        <v>Turned Around</v>
      </c>
      <c r="C1990" t="s">
        <v>762</v>
      </c>
      <c r="D1990" t="str">
        <f t="shared" ref="D1990" si="1629">_xlfn.CONCAT(A1990:C1990)</f>
        <v xml:space="preserve">    "message":  "Turned Around",</v>
      </c>
    </row>
    <row r="1991" spans="1:4" x14ac:dyDescent="0.55000000000000004">
      <c r="A1991" t="s">
        <v>764</v>
      </c>
      <c r="B1991" t="str">
        <f>VLOOKUP(B1989,Tabelle3!$A$2:$E$33,5,FALSE)</f>
        <v>Only Yellow</v>
      </c>
      <c r="C1991" t="s">
        <v>762</v>
      </c>
      <c r="D1991" t="str">
        <f t="shared" si="1584"/>
        <v xml:space="preserve">    "nextInstruction":  "Only Yellow",</v>
      </c>
    </row>
    <row r="1992" spans="1:4" x14ac:dyDescent="0.55000000000000004">
      <c r="A1992" t="s">
        <v>765</v>
      </c>
      <c r="B1992">
        <f>VLOOKUP(B1989,Tabelle3!$A$2:$E$33,4,FALSE)</f>
        <v>0</v>
      </c>
      <c r="D1992" t="str">
        <f t="shared" ref="D1992:D2055" si="1630">IF(ISNUMBER(B1992),(A1992&amp;B1992),"")</f>
        <v xml:space="preserve">    "damageModifier": 0</v>
      </c>
    </row>
    <row r="1993" spans="1:4" x14ac:dyDescent="0.55000000000000004">
      <c r="A1993" t="s">
        <v>6</v>
      </c>
      <c r="D1993" t="str">
        <f t="shared" ref="D1993:D2056" si="1631">A1993</f>
        <v xml:space="preserve">  },</v>
      </c>
    </row>
    <row r="1994" spans="1:4" x14ac:dyDescent="0.55000000000000004">
      <c r="A1994" t="s">
        <v>340</v>
      </c>
      <c r="D1994" t="str">
        <f t="shared" si="1631"/>
        <v xml:space="preserve">  "28-22": {</v>
      </c>
    </row>
    <row r="1995" spans="1:4" x14ac:dyDescent="0.55000000000000004">
      <c r="A1995" t="s">
        <v>116</v>
      </c>
      <c r="B1995">
        <f t="shared" ref="B1995" si="1632">_xlfn.NUMBERVALUE(RIGHT(A1995,2))</f>
        <v>3</v>
      </c>
      <c r="D1995" t="str">
        <f t="shared" ref="D1995:D2058" si="1633">A1995&amp;","</f>
        <v xml:space="preserve">    "resultPage": 3,</v>
      </c>
    </row>
    <row r="1996" spans="1:4" x14ac:dyDescent="0.55000000000000004">
      <c r="A1996" t="s">
        <v>763</v>
      </c>
      <c r="B1996" t="str">
        <f>VLOOKUP(B1995,Tabelle3!$A$2:$E$33,3,FALSE)</f>
        <v>Swinging High</v>
      </c>
      <c r="C1996" t="s">
        <v>762</v>
      </c>
      <c r="D1996" t="str">
        <f t="shared" ref="D1996" si="1634">_xlfn.CONCAT(A1996:C1996)</f>
        <v xml:space="preserve">    "message":  "Swinging High",</v>
      </c>
    </row>
    <row r="1997" spans="1:4" x14ac:dyDescent="0.55000000000000004">
      <c r="A1997" t="s">
        <v>764</v>
      </c>
      <c r="B1997" t="str">
        <f>VLOOKUP(B1995,Tabelle3!$A$2:$E$33,5,FALSE)</f>
        <v>No Red</v>
      </c>
      <c r="C1997" t="s">
        <v>762</v>
      </c>
      <c r="D1997" t="str">
        <f t="shared" si="1584"/>
        <v xml:space="preserve">    "nextInstruction":  "No Red",</v>
      </c>
    </row>
    <row r="1998" spans="1:4" x14ac:dyDescent="0.55000000000000004">
      <c r="A1998" t="s">
        <v>765</v>
      </c>
      <c r="B1998" t="str">
        <f>VLOOKUP(B1995,Tabelle3!$A$2:$E$33,4,FALSE)</f>
        <v>""</v>
      </c>
      <c r="D1998" t="str">
        <f t="shared" ref="D1998:D2061" si="1635">IF(ISNUMBER(B1998),(A1998&amp;B1998),"")</f>
        <v/>
      </c>
    </row>
    <row r="1999" spans="1:4" x14ac:dyDescent="0.55000000000000004">
      <c r="A1999" t="s">
        <v>6</v>
      </c>
      <c r="D1999" t="str">
        <f t="shared" ref="D1999:D2062" si="1636">A1999</f>
        <v xml:space="preserve">  },</v>
      </c>
    </row>
    <row r="2000" spans="1:4" x14ac:dyDescent="0.55000000000000004">
      <c r="A2000" t="s">
        <v>341</v>
      </c>
      <c r="D2000" t="str">
        <f t="shared" si="1636"/>
        <v xml:space="preserve">  "28-24": {</v>
      </c>
    </row>
    <row r="2001" spans="1:4" x14ac:dyDescent="0.55000000000000004">
      <c r="A2001" t="s">
        <v>116</v>
      </c>
      <c r="B2001">
        <f t="shared" ref="B2001" si="1637">_xlfn.NUMBERVALUE(RIGHT(A2001,2))</f>
        <v>3</v>
      </c>
      <c r="D2001" t="str">
        <f t="shared" ref="D2001:D2064" si="1638">A2001&amp;","</f>
        <v xml:space="preserve">    "resultPage": 3,</v>
      </c>
    </row>
    <row r="2002" spans="1:4" x14ac:dyDescent="0.55000000000000004">
      <c r="A2002" t="s">
        <v>763</v>
      </c>
      <c r="B2002" t="str">
        <f>VLOOKUP(B2001,Tabelle3!$A$2:$E$33,3,FALSE)</f>
        <v>Swinging High</v>
      </c>
      <c r="C2002" t="s">
        <v>762</v>
      </c>
      <c r="D2002" t="str">
        <f t="shared" ref="D2002:D2063" si="1639">_xlfn.CONCAT(A2002:C2002)</f>
        <v xml:space="preserve">    "message":  "Swinging High",</v>
      </c>
    </row>
    <row r="2003" spans="1:4" x14ac:dyDescent="0.55000000000000004">
      <c r="A2003" t="s">
        <v>764</v>
      </c>
      <c r="B2003" t="str">
        <f>VLOOKUP(B2001,Tabelle3!$A$2:$E$33,5,FALSE)</f>
        <v>No Red</v>
      </c>
      <c r="C2003" t="s">
        <v>762</v>
      </c>
      <c r="D2003" t="str">
        <f t="shared" si="1639"/>
        <v xml:space="preserve">    "nextInstruction":  "No Red",</v>
      </c>
    </row>
    <row r="2004" spans="1:4" x14ac:dyDescent="0.55000000000000004">
      <c r="A2004" t="s">
        <v>765</v>
      </c>
      <c r="B2004" t="str">
        <f>VLOOKUP(B2001,Tabelle3!$A$2:$E$33,4,FALSE)</f>
        <v>""</v>
      </c>
      <c r="D2004" t="str">
        <f t="shared" ref="D2004:D2067" si="1640">IF(ISNUMBER(B2004),(A2004&amp;B2004),"")</f>
        <v/>
      </c>
    </row>
    <row r="2005" spans="1:4" x14ac:dyDescent="0.55000000000000004">
      <c r="A2005" t="s">
        <v>6</v>
      </c>
      <c r="D2005" t="str">
        <f t="shared" ref="D2005:D2068" si="1641">A2005</f>
        <v xml:space="preserve">  },</v>
      </c>
    </row>
    <row r="2006" spans="1:4" x14ac:dyDescent="0.55000000000000004">
      <c r="A2006" t="s">
        <v>342</v>
      </c>
      <c r="D2006" t="str">
        <f t="shared" si="1641"/>
        <v xml:space="preserve">  "28-26": {</v>
      </c>
    </row>
    <row r="2007" spans="1:4" x14ac:dyDescent="0.55000000000000004">
      <c r="A2007" t="s">
        <v>116</v>
      </c>
      <c r="B2007">
        <f t="shared" ref="B2007" si="1642">_xlfn.NUMBERVALUE(RIGHT(A2007,2))</f>
        <v>3</v>
      </c>
      <c r="D2007" t="str">
        <f t="shared" ref="D2007:D2070" si="1643">A2007&amp;","</f>
        <v xml:space="preserve">    "resultPage": 3,</v>
      </c>
    </row>
    <row r="2008" spans="1:4" x14ac:dyDescent="0.55000000000000004">
      <c r="A2008" t="s">
        <v>763</v>
      </c>
      <c r="B2008" t="str">
        <f>VLOOKUP(B2007,Tabelle3!$A$2:$E$33,3,FALSE)</f>
        <v>Swinging High</v>
      </c>
      <c r="C2008" t="s">
        <v>762</v>
      </c>
      <c r="D2008" t="str">
        <f t="shared" ref="D2008" si="1644">_xlfn.CONCAT(A2008:C2008)</f>
        <v xml:space="preserve">    "message":  "Swinging High",</v>
      </c>
    </row>
    <row r="2009" spans="1:4" x14ac:dyDescent="0.55000000000000004">
      <c r="A2009" t="s">
        <v>764</v>
      </c>
      <c r="B2009" t="str">
        <f>VLOOKUP(B2007,Tabelle3!$A$2:$E$33,5,FALSE)</f>
        <v>No Red</v>
      </c>
      <c r="C2009" t="s">
        <v>762</v>
      </c>
      <c r="D2009" t="str">
        <f t="shared" si="1639"/>
        <v xml:space="preserve">    "nextInstruction":  "No Red",</v>
      </c>
    </row>
    <row r="2010" spans="1:4" x14ac:dyDescent="0.55000000000000004">
      <c r="A2010" t="s">
        <v>765</v>
      </c>
      <c r="B2010" t="str">
        <f>VLOOKUP(B2007,Tabelle3!$A$2:$E$33,4,FALSE)</f>
        <v>""</v>
      </c>
      <c r="D2010" t="str">
        <f t="shared" ref="D2010:D2073" si="1645">IF(ISNUMBER(B2010),(A2010&amp;B2010),"")</f>
        <v/>
      </c>
    </row>
    <row r="2011" spans="1:4" x14ac:dyDescent="0.55000000000000004">
      <c r="A2011" t="s">
        <v>6</v>
      </c>
      <c r="D2011" t="str">
        <f t="shared" ref="D2011:D2074" si="1646">A2011</f>
        <v xml:space="preserve">  },</v>
      </c>
    </row>
    <row r="2012" spans="1:4" x14ac:dyDescent="0.55000000000000004">
      <c r="A2012" t="s">
        <v>343</v>
      </c>
      <c r="D2012" t="str">
        <f t="shared" si="1646"/>
        <v xml:space="preserve">  "28-28": {</v>
      </c>
    </row>
    <row r="2013" spans="1:4" x14ac:dyDescent="0.55000000000000004">
      <c r="A2013" t="s">
        <v>58</v>
      </c>
      <c r="B2013">
        <f t="shared" ref="B2013" si="1647">_xlfn.NUMBERVALUE(RIGHT(A2013,2))</f>
        <v>19</v>
      </c>
      <c r="D2013" t="str">
        <f t="shared" ref="D2013:D2076" si="1648">A2013&amp;","</f>
        <v xml:space="preserve">    "resultPage": 19,</v>
      </c>
    </row>
    <row r="2014" spans="1:4" x14ac:dyDescent="0.55000000000000004">
      <c r="A2014" t="s">
        <v>763</v>
      </c>
      <c r="B2014" t="str">
        <f>VLOOKUP(B2013,Tabelle3!$A$2:$E$33,3,FALSE)</f>
        <v>Struck off Balance</v>
      </c>
      <c r="C2014" t="s">
        <v>762</v>
      </c>
      <c r="D2014" t="str">
        <f t="shared" ref="D2014" si="1649">_xlfn.CONCAT(A2014:C2014)</f>
        <v xml:space="preserve">    "message":  "Struck off Balance",</v>
      </c>
    </row>
    <row r="2015" spans="1:4" x14ac:dyDescent="0.55000000000000004">
      <c r="A2015" t="s">
        <v>764</v>
      </c>
      <c r="B2015" t="str">
        <f>VLOOKUP(B2013,Tabelle3!$A$2:$E$33,5,FALSE)</f>
        <v>Only Green Only Yellow</v>
      </c>
      <c r="C2015" t="s">
        <v>762</v>
      </c>
      <c r="D2015" t="str">
        <f t="shared" si="1639"/>
        <v xml:space="preserve">    "nextInstruction":  "Only Green Only Yellow",</v>
      </c>
    </row>
    <row r="2016" spans="1:4" x14ac:dyDescent="0.55000000000000004">
      <c r="A2016" t="s">
        <v>765</v>
      </c>
      <c r="B2016">
        <f>VLOOKUP(B2013,Tabelle3!$A$2:$E$33,4,FALSE)</f>
        <v>0</v>
      </c>
      <c r="D2016" t="str">
        <f t="shared" ref="D2016:D2079" si="1650">IF(ISNUMBER(B2016),(A2016&amp;B2016),"")</f>
        <v xml:space="preserve">    "damageModifier": 0</v>
      </c>
    </row>
    <row r="2017" spans="1:4" x14ac:dyDescent="0.55000000000000004">
      <c r="A2017" t="s">
        <v>6</v>
      </c>
      <c r="D2017" t="str">
        <f t="shared" ref="D2017:D2080" si="1651">A2017</f>
        <v xml:space="preserve">  },</v>
      </c>
    </row>
    <row r="2018" spans="1:4" x14ac:dyDescent="0.55000000000000004">
      <c r="A2018" t="s">
        <v>344</v>
      </c>
      <c r="D2018" t="str">
        <f t="shared" si="1651"/>
        <v xml:space="preserve">  "28-30": {</v>
      </c>
    </row>
    <row r="2019" spans="1:4" x14ac:dyDescent="0.55000000000000004">
      <c r="A2019" t="s">
        <v>116</v>
      </c>
      <c r="B2019">
        <f t="shared" ref="B2019" si="1652">_xlfn.NUMBERVALUE(RIGHT(A2019,2))</f>
        <v>3</v>
      </c>
      <c r="D2019" t="str">
        <f t="shared" ref="D2019:D2082" si="1653">A2019&amp;","</f>
        <v xml:space="preserve">    "resultPage": 3,</v>
      </c>
    </row>
    <row r="2020" spans="1:4" x14ac:dyDescent="0.55000000000000004">
      <c r="A2020" t="s">
        <v>763</v>
      </c>
      <c r="B2020" t="str">
        <f>VLOOKUP(B2019,Tabelle3!$A$2:$E$33,3,FALSE)</f>
        <v>Swinging High</v>
      </c>
      <c r="C2020" t="s">
        <v>762</v>
      </c>
      <c r="D2020" t="str">
        <f t="shared" ref="D2020" si="1654">_xlfn.CONCAT(A2020:C2020)</f>
        <v xml:space="preserve">    "message":  "Swinging High",</v>
      </c>
    </row>
    <row r="2021" spans="1:4" x14ac:dyDescent="0.55000000000000004">
      <c r="A2021" t="s">
        <v>764</v>
      </c>
      <c r="B2021" t="str">
        <f>VLOOKUP(B2019,Tabelle3!$A$2:$E$33,5,FALSE)</f>
        <v>No Red</v>
      </c>
      <c r="C2021" t="s">
        <v>762</v>
      </c>
      <c r="D2021" t="str">
        <f t="shared" si="1639"/>
        <v xml:space="preserve">    "nextInstruction":  "No Red",</v>
      </c>
    </row>
    <row r="2022" spans="1:4" x14ac:dyDescent="0.55000000000000004">
      <c r="A2022" t="s">
        <v>765</v>
      </c>
      <c r="B2022" t="str">
        <f>VLOOKUP(B2019,Tabelle3!$A$2:$E$33,4,FALSE)</f>
        <v>""</v>
      </c>
      <c r="D2022" t="str">
        <f t="shared" ref="D2022:D2085" si="1655">IF(ISNUMBER(B2022),(A2022&amp;B2022),"")</f>
        <v/>
      </c>
    </row>
    <row r="2023" spans="1:4" x14ac:dyDescent="0.55000000000000004">
      <c r="A2023" t="s">
        <v>6</v>
      </c>
      <c r="D2023" t="str">
        <f t="shared" ref="D2023:D2086" si="1656">A2023</f>
        <v xml:space="preserve">  },</v>
      </c>
    </row>
    <row r="2024" spans="1:4" x14ac:dyDescent="0.55000000000000004">
      <c r="A2024" t="s">
        <v>345</v>
      </c>
      <c r="D2024" t="str">
        <f t="shared" si="1656"/>
        <v xml:space="preserve">  "28-32": {</v>
      </c>
    </row>
    <row r="2025" spans="1:4" x14ac:dyDescent="0.55000000000000004">
      <c r="A2025" t="s">
        <v>116</v>
      </c>
      <c r="B2025">
        <f t="shared" ref="B2025" si="1657">_xlfn.NUMBERVALUE(RIGHT(A2025,2))</f>
        <v>3</v>
      </c>
      <c r="D2025" t="str">
        <f t="shared" ref="D2025:D2088" si="1658">A2025&amp;","</f>
        <v xml:space="preserve">    "resultPage": 3,</v>
      </c>
    </row>
    <row r="2026" spans="1:4" x14ac:dyDescent="0.55000000000000004">
      <c r="A2026" t="s">
        <v>763</v>
      </c>
      <c r="B2026" t="str">
        <f>VLOOKUP(B2025,Tabelle3!$A$2:$E$33,3,FALSE)</f>
        <v>Swinging High</v>
      </c>
      <c r="C2026" t="s">
        <v>762</v>
      </c>
      <c r="D2026" t="str">
        <f t="shared" ref="D2026" si="1659">_xlfn.CONCAT(A2026:C2026)</f>
        <v xml:space="preserve">    "message":  "Swinging High",</v>
      </c>
    </row>
    <row r="2027" spans="1:4" x14ac:dyDescent="0.55000000000000004">
      <c r="A2027" t="s">
        <v>764</v>
      </c>
      <c r="B2027" t="str">
        <f>VLOOKUP(B2025,Tabelle3!$A$2:$E$33,5,FALSE)</f>
        <v>No Red</v>
      </c>
      <c r="C2027" t="s">
        <v>762</v>
      </c>
      <c r="D2027" t="str">
        <f t="shared" si="1639"/>
        <v xml:space="preserve">    "nextInstruction":  "No Red",</v>
      </c>
    </row>
    <row r="2028" spans="1:4" x14ac:dyDescent="0.55000000000000004">
      <c r="A2028" t="s">
        <v>765</v>
      </c>
      <c r="B2028" t="str">
        <f>VLOOKUP(B2025,Tabelle3!$A$2:$E$33,4,FALSE)</f>
        <v>""</v>
      </c>
      <c r="D2028" t="str">
        <f t="shared" ref="D2028:D2091" si="1660">IF(ISNUMBER(B2028),(A2028&amp;B2028),"")</f>
        <v/>
      </c>
    </row>
    <row r="2029" spans="1:4" x14ac:dyDescent="0.55000000000000004">
      <c r="A2029" t="s">
        <v>6</v>
      </c>
      <c r="D2029" t="str">
        <f t="shared" ref="D2029:D2092" si="1661">A2029</f>
        <v xml:space="preserve">  },</v>
      </c>
    </row>
    <row r="2030" spans="1:4" x14ac:dyDescent="0.55000000000000004">
      <c r="A2030" t="s">
        <v>346</v>
      </c>
      <c r="D2030" t="str">
        <f t="shared" si="1661"/>
        <v xml:space="preserve">  "28-34": {</v>
      </c>
    </row>
    <row r="2031" spans="1:4" x14ac:dyDescent="0.55000000000000004">
      <c r="A2031" t="s">
        <v>133</v>
      </c>
      <c r="B2031">
        <f t="shared" ref="B2031" si="1662">_xlfn.NUMBERVALUE(RIGHT(A2031,2))</f>
        <v>51</v>
      </c>
      <c r="D2031" t="str">
        <f t="shared" ref="D2031:D2094" si="1663">A2031&amp;","</f>
        <v xml:space="preserve">    "resultPage": 51,</v>
      </c>
    </row>
    <row r="2032" spans="1:4" x14ac:dyDescent="0.55000000000000004">
      <c r="A2032" t="s">
        <v>763</v>
      </c>
      <c r="B2032" t="str">
        <f>VLOOKUP(B2031,Tabelle3!$A$2:$E$33,3,FALSE)</f>
        <v>Kicked Off Balance</v>
      </c>
      <c r="C2032" t="s">
        <v>762</v>
      </c>
      <c r="D2032" t="str">
        <f t="shared" ref="D2032" si="1664">_xlfn.CONCAT(A2032:C2032)</f>
        <v xml:space="preserve">    "message":  "Kicked Off Balance",</v>
      </c>
    </row>
    <row r="2033" spans="1:4" x14ac:dyDescent="0.55000000000000004">
      <c r="A2033" t="s">
        <v>764</v>
      </c>
      <c r="B2033" t="str">
        <f>VLOOKUP(B2031,Tabelle3!$A$2:$E$33,5,FALSE)</f>
        <v>Only Green Only Yellow</v>
      </c>
      <c r="C2033" t="s">
        <v>762</v>
      </c>
      <c r="D2033" t="str">
        <f t="shared" si="1639"/>
        <v xml:space="preserve">    "nextInstruction":  "Only Green Only Yellow",</v>
      </c>
    </row>
    <row r="2034" spans="1:4" x14ac:dyDescent="0.55000000000000004">
      <c r="A2034" t="s">
        <v>765</v>
      </c>
      <c r="B2034">
        <f>VLOOKUP(B2031,Tabelle3!$A$2:$E$33,4,FALSE)</f>
        <v>0</v>
      </c>
      <c r="D2034" t="str">
        <f t="shared" ref="D2034:D2097" si="1665">IF(ISNUMBER(B2034),(A2034&amp;B2034),"")</f>
        <v xml:space="preserve">    "damageModifier": 0</v>
      </c>
    </row>
    <row r="2035" spans="1:4" x14ac:dyDescent="0.55000000000000004">
      <c r="A2035" t="s">
        <v>6</v>
      </c>
      <c r="D2035" t="str">
        <f t="shared" ref="D2035:D2098" si="1666">A2035</f>
        <v xml:space="preserve">  },</v>
      </c>
    </row>
    <row r="2036" spans="1:4" x14ac:dyDescent="0.55000000000000004">
      <c r="A2036" t="s">
        <v>347</v>
      </c>
      <c r="D2036" t="str">
        <f t="shared" si="1666"/>
        <v xml:space="preserve">  "28-36": {</v>
      </c>
    </row>
    <row r="2037" spans="1:4" x14ac:dyDescent="0.55000000000000004">
      <c r="A2037" t="s">
        <v>23</v>
      </c>
      <c r="B2037">
        <f t="shared" ref="B2037" si="1667">_xlfn.NUMBERVALUE(RIGHT(A2037,2))</f>
        <v>7</v>
      </c>
      <c r="D2037" t="str">
        <f t="shared" ref="D2037:D2100" si="1668">A2037&amp;","</f>
        <v xml:space="preserve">    "resultPage": 7,</v>
      </c>
    </row>
    <row r="2038" spans="1:4" x14ac:dyDescent="0.55000000000000004">
      <c r="A2038" t="s">
        <v>763</v>
      </c>
      <c r="B2038" t="str">
        <f>VLOOKUP(B2037,Tabelle3!$A$2:$E$33,3,FALSE)</f>
        <v>Dazed</v>
      </c>
      <c r="C2038" t="s">
        <v>762</v>
      </c>
      <c r="D2038" t="str">
        <f t="shared" ref="D2038" si="1669">_xlfn.CONCAT(A2038:C2038)</f>
        <v xml:space="preserve">    "message":  "Dazed",</v>
      </c>
    </row>
    <row r="2039" spans="1:4" x14ac:dyDescent="0.55000000000000004">
      <c r="A2039" t="s">
        <v>764</v>
      </c>
      <c r="B2039" t="str">
        <f>VLOOKUP(B2037,Tabelle3!$A$2:$E$33,5,FALSE)</f>
        <v>Only Green Only Yellow</v>
      </c>
      <c r="C2039" t="s">
        <v>762</v>
      </c>
      <c r="D2039" t="str">
        <f t="shared" si="1639"/>
        <v xml:space="preserve">    "nextInstruction":  "Only Green Only Yellow",</v>
      </c>
    </row>
    <row r="2040" spans="1:4" x14ac:dyDescent="0.55000000000000004">
      <c r="A2040" t="s">
        <v>765</v>
      </c>
      <c r="B2040">
        <f>VLOOKUP(B2037,Tabelle3!$A$2:$E$33,4,FALSE)</f>
        <v>7</v>
      </c>
      <c r="D2040" t="str">
        <f t="shared" ref="D2040:D2103" si="1670">IF(ISNUMBER(B2040),(A2040&amp;B2040),"")</f>
        <v xml:space="preserve">    "damageModifier": 7</v>
      </c>
    </row>
    <row r="2041" spans="1:4" x14ac:dyDescent="0.55000000000000004">
      <c r="A2041" t="s">
        <v>6</v>
      </c>
      <c r="D2041" t="str">
        <f t="shared" ref="D2041:D2104" si="1671">A2041</f>
        <v xml:space="preserve">  },</v>
      </c>
    </row>
    <row r="2042" spans="1:4" x14ac:dyDescent="0.55000000000000004">
      <c r="A2042" t="s">
        <v>348</v>
      </c>
      <c r="D2042" t="str">
        <f t="shared" si="1671"/>
        <v xml:space="preserve">  "28-38": {</v>
      </c>
    </row>
    <row r="2043" spans="1:4" x14ac:dyDescent="0.55000000000000004">
      <c r="A2043" t="s">
        <v>116</v>
      </c>
      <c r="B2043">
        <f t="shared" ref="B2043" si="1672">_xlfn.NUMBERVALUE(RIGHT(A2043,2))</f>
        <v>3</v>
      </c>
      <c r="D2043" t="str">
        <f t="shared" ref="D2043:D2106" si="1673">A2043&amp;","</f>
        <v xml:space="preserve">    "resultPage": 3,</v>
      </c>
    </row>
    <row r="2044" spans="1:4" x14ac:dyDescent="0.55000000000000004">
      <c r="A2044" t="s">
        <v>763</v>
      </c>
      <c r="B2044" t="str">
        <f>VLOOKUP(B2043,Tabelle3!$A$2:$E$33,3,FALSE)</f>
        <v>Swinging High</v>
      </c>
      <c r="C2044" t="s">
        <v>762</v>
      </c>
      <c r="D2044" t="str">
        <f t="shared" ref="D2044" si="1674">_xlfn.CONCAT(A2044:C2044)</f>
        <v xml:space="preserve">    "message":  "Swinging High",</v>
      </c>
    </row>
    <row r="2045" spans="1:4" x14ac:dyDescent="0.55000000000000004">
      <c r="A2045" t="s">
        <v>764</v>
      </c>
      <c r="B2045" t="str">
        <f>VLOOKUP(B2043,Tabelle3!$A$2:$E$33,5,FALSE)</f>
        <v>No Red</v>
      </c>
      <c r="C2045" t="s">
        <v>762</v>
      </c>
      <c r="D2045" t="str">
        <f t="shared" si="1639"/>
        <v xml:space="preserve">    "nextInstruction":  "No Red",</v>
      </c>
    </row>
    <row r="2046" spans="1:4" x14ac:dyDescent="0.55000000000000004">
      <c r="A2046" t="s">
        <v>765</v>
      </c>
      <c r="B2046" t="str">
        <f>VLOOKUP(B2043,Tabelle3!$A$2:$E$33,4,FALSE)</f>
        <v>""</v>
      </c>
      <c r="D2046" t="str">
        <f t="shared" ref="D2046:D2109" si="1675">IF(ISNUMBER(B2046),(A2046&amp;B2046),"")</f>
        <v/>
      </c>
    </row>
    <row r="2047" spans="1:4" x14ac:dyDescent="0.55000000000000004">
      <c r="A2047" t="s">
        <v>6</v>
      </c>
      <c r="D2047" t="str">
        <f t="shared" ref="D2047:D2110" si="1676">A2047</f>
        <v xml:space="preserve">  },</v>
      </c>
    </row>
    <row r="2048" spans="1:4" x14ac:dyDescent="0.55000000000000004">
      <c r="A2048" t="s">
        <v>349</v>
      </c>
      <c r="D2048" t="str">
        <f t="shared" si="1676"/>
        <v xml:space="preserve">  "28-40": {</v>
      </c>
    </row>
    <row r="2049" spans="1:4" x14ac:dyDescent="0.55000000000000004">
      <c r="A2049" t="s">
        <v>116</v>
      </c>
      <c r="B2049">
        <f t="shared" ref="B2049" si="1677">_xlfn.NUMBERVALUE(RIGHT(A2049,2))</f>
        <v>3</v>
      </c>
      <c r="D2049" t="str">
        <f t="shared" ref="D2049:D2112" si="1678">A2049&amp;","</f>
        <v xml:space="preserve">    "resultPage": 3,</v>
      </c>
    </row>
    <row r="2050" spans="1:4" x14ac:dyDescent="0.55000000000000004">
      <c r="A2050" t="s">
        <v>763</v>
      </c>
      <c r="B2050" t="str">
        <f>VLOOKUP(B2049,Tabelle3!$A$2:$E$33,3,FALSE)</f>
        <v>Swinging High</v>
      </c>
      <c r="C2050" t="s">
        <v>762</v>
      </c>
      <c r="D2050" t="str">
        <f t="shared" ref="D2050" si="1679">_xlfn.CONCAT(A2050:C2050)</f>
        <v xml:space="preserve">    "message":  "Swinging High",</v>
      </c>
    </row>
    <row r="2051" spans="1:4" x14ac:dyDescent="0.55000000000000004">
      <c r="A2051" t="s">
        <v>764</v>
      </c>
      <c r="B2051" t="str">
        <f>VLOOKUP(B2049,Tabelle3!$A$2:$E$33,5,FALSE)</f>
        <v>No Red</v>
      </c>
      <c r="C2051" t="s">
        <v>762</v>
      </c>
      <c r="D2051" t="str">
        <f t="shared" si="1639"/>
        <v xml:space="preserve">    "nextInstruction":  "No Red",</v>
      </c>
    </row>
    <row r="2052" spans="1:4" x14ac:dyDescent="0.55000000000000004">
      <c r="A2052" t="s">
        <v>765</v>
      </c>
      <c r="B2052" t="str">
        <f>VLOOKUP(B2049,Tabelle3!$A$2:$E$33,4,FALSE)</f>
        <v>""</v>
      </c>
      <c r="D2052" t="str">
        <f t="shared" ref="D2052:D2115" si="1680">IF(ISNUMBER(B2052),(A2052&amp;B2052),"")</f>
        <v/>
      </c>
    </row>
    <row r="2053" spans="1:4" x14ac:dyDescent="0.55000000000000004">
      <c r="A2053" t="s">
        <v>6</v>
      </c>
      <c r="D2053" t="str">
        <f t="shared" ref="D2053:D2116" si="1681">A2053</f>
        <v xml:space="preserve">  },</v>
      </c>
    </row>
    <row r="2054" spans="1:4" x14ac:dyDescent="0.55000000000000004">
      <c r="A2054" t="s">
        <v>350</v>
      </c>
      <c r="D2054" t="str">
        <f t="shared" si="1681"/>
        <v xml:space="preserve">  "28-42": {</v>
      </c>
    </row>
    <row r="2055" spans="1:4" x14ac:dyDescent="0.55000000000000004">
      <c r="A2055" t="s">
        <v>138</v>
      </c>
      <c r="B2055">
        <f t="shared" ref="B2055" si="1682">_xlfn.NUMBERVALUE(RIGHT(A2055,2))</f>
        <v>13</v>
      </c>
      <c r="D2055" t="str">
        <f t="shared" ref="D2055:D2118" si="1683">A2055&amp;","</f>
        <v xml:space="preserve">    "resultPage": 13,</v>
      </c>
    </row>
    <row r="2056" spans="1:4" x14ac:dyDescent="0.55000000000000004">
      <c r="A2056" t="s">
        <v>763</v>
      </c>
      <c r="B2056" t="str">
        <f>VLOOKUP(B2055,Tabelle3!$A$2:$E$33,3,FALSE)</f>
        <v>Leg Wound</v>
      </c>
      <c r="C2056" t="s">
        <v>762</v>
      </c>
      <c r="D2056" t="str">
        <f t="shared" ref="D2056" si="1684">_xlfn.CONCAT(A2056:C2056)</f>
        <v xml:space="preserve">    "message":  "Leg Wound",</v>
      </c>
    </row>
    <row r="2057" spans="1:4" x14ac:dyDescent="0.55000000000000004">
      <c r="A2057" t="s">
        <v>764</v>
      </c>
      <c r="B2057" t="str">
        <f>VLOOKUP(B2055,Tabelle3!$A$2:$E$33,5,FALSE)</f>
        <v>No Orange</v>
      </c>
      <c r="C2057" t="s">
        <v>762</v>
      </c>
      <c r="D2057" t="str">
        <f t="shared" si="1639"/>
        <v xml:space="preserve">    "nextInstruction":  "No Orange",</v>
      </c>
    </row>
    <row r="2058" spans="1:4" x14ac:dyDescent="0.55000000000000004">
      <c r="A2058" t="s">
        <v>765</v>
      </c>
      <c r="B2058">
        <f>VLOOKUP(B2055,Tabelle3!$A$2:$E$33,4,FALSE)</f>
        <v>4</v>
      </c>
      <c r="D2058" t="str">
        <f t="shared" ref="D2058:D2121" si="1685">IF(ISNUMBER(B2058),(A2058&amp;B2058),"")</f>
        <v xml:space="preserve">    "damageModifier": 4</v>
      </c>
    </row>
    <row r="2059" spans="1:4" x14ac:dyDescent="0.55000000000000004">
      <c r="A2059" t="s">
        <v>6</v>
      </c>
      <c r="D2059" t="str">
        <f t="shared" ref="D2059:D2122" si="1686">A2059</f>
        <v xml:space="preserve">  },</v>
      </c>
    </row>
    <row r="2060" spans="1:4" x14ac:dyDescent="0.55000000000000004">
      <c r="A2060" t="s">
        <v>351</v>
      </c>
      <c r="D2060" t="str">
        <f t="shared" si="1686"/>
        <v xml:space="preserve">  "28-44": {</v>
      </c>
    </row>
    <row r="2061" spans="1:4" x14ac:dyDescent="0.55000000000000004">
      <c r="A2061" t="s">
        <v>58</v>
      </c>
      <c r="B2061">
        <f t="shared" ref="B2061" si="1687">_xlfn.NUMBERVALUE(RIGHT(A2061,2))</f>
        <v>19</v>
      </c>
      <c r="D2061" t="str">
        <f t="shared" ref="D2061:D2124" si="1688">A2061&amp;","</f>
        <v xml:space="preserve">    "resultPage": 19,</v>
      </c>
    </row>
    <row r="2062" spans="1:4" x14ac:dyDescent="0.55000000000000004">
      <c r="A2062" t="s">
        <v>763</v>
      </c>
      <c r="B2062" t="str">
        <f>VLOOKUP(B2061,Tabelle3!$A$2:$E$33,3,FALSE)</f>
        <v>Struck off Balance</v>
      </c>
      <c r="C2062" t="s">
        <v>762</v>
      </c>
      <c r="D2062" t="str">
        <f t="shared" ref="D2062" si="1689">_xlfn.CONCAT(A2062:C2062)</f>
        <v xml:space="preserve">    "message":  "Struck off Balance",</v>
      </c>
    </row>
    <row r="2063" spans="1:4" x14ac:dyDescent="0.55000000000000004">
      <c r="A2063" t="s">
        <v>764</v>
      </c>
      <c r="B2063" t="str">
        <f>VLOOKUP(B2061,Tabelle3!$A$2:$E$33,5,FALSE)</f>
        <v>Only Green Only Yellow</v>
      </c>
      <c r="C2063" t="s">
        <v>762</v>
      </c>
      <c r="D2063" t="str">
        <f t="shared" si="1639"/>
        <v xml:space="preserve">    "nextInstruction":  "Only Green Only Yellow",</v>
      </c>
    </row>
    <row r="2064" spans="1:4" x14ac:dyDescent="0.55000000000000004">
      <c r="A2064" t="s">
        <v>765</v>
      </c>
      <c r="B2064">
        <f>VLOOKUP(B2061,Tabelle3!$A$2:$E$33,4,FALSE)</f>
        <v>0</v>
      </c>
      <c r="D2064" t="str">
        <f t="shared" ref="D2064:D2127" si="1690">IF(ISNUMBER(B2064),(A2064&amp;B2064),"")</f>
        <v xml:space="preserve">    "damageModifier": 0</v>
      </c>
    </row>
    <row r="2065" spans="1:4" x14ac:dyDescent="0.55000000000000004">
      <c r="A2065" t="s">
        <v>6</v>
      </c>
      <c r="D2065" t="str">
        <f t="shared" ref="D2065:D2128" si="1691">A2065</f>
        <v xml:space="preserve">  },</v>
      </c>
    </row>
    <row r="2066" spans="1:4" x14ac:dyDescent="0.55000000000000004">
      <c r="A2066" t="s">
        <v>352</v>
      </c>
      <c r="D2066" t="str">
        <f t="shared" si="1691"/>
        <v xml:space="preserve">  "28-46": {</v>
      </c>
    </row>
    <row r="2067" spans="1:4" x14ac:dyDescent="0.55000000000000004">
      <c r="A2067" t="s">
        <v>116</v>
      </c>
      <c r="B2067">
        <f t="shared" ref="B2067" si="1692">_xlfn.NUMBERVALUE(RIGHT(A2067,2))</f>
        <v>3</v>
      </c>
      <c r="D2067" t="str">
        <f t="shared" ref="D2067:D2130" si="1693">A2067&amp;","</f>
        <v xml:space="preserve">    "resultPage": 3,</v>
      </c>
    </row>
    <row r="2068" spans="1:4" x14ac:dyDescent="0.55000000000000004">
      <c r="A2068" t="s">
        <v>763</v>
      </c>
      <c r="B2068" t="str">
        <f>VLOOKUP(B2067,Tabelle3!$A$2:$E$33,3,FALSE)</f>
        <v>Swinging High</v>
      </c>
      <c r="C2068" t="s">
        <v>762</v>
      </c>
      <c r="D2068" t="str">
        <f t="shared" ref="D2068:D2129" si="1694">_xlfn.CONCAT(A2068:C2068)</f>
        <v xml:space="preserve">    "message":  "Swinging High",</v>
      </c>
    </row>
    <row r="2069" spans="1:4" x14ac:dyDescent="0.55000000000000004">
      <c r="A2069" t="s">
        <v>764</v>
      </c>
      <c r="B2069" t="str">
        <f>VLOOKUP(B2067,Tabelle3!$A$2:$E$33,5,FALSE)</f>
        <v>No Red</v>
      </c>
      <c r="C2069" t="s">
        <v>762</v>
      </c>
      <c r="D2069" t="str">
        <f t="shared" si="1694"/>
        <v xml:space="preserve">    "nextInstruction":  "No Red",</v>
      </c>
    </row>
    <row r="2070" spans="1:4" x14ac:dyDescent="0.55000000000000004">
      <c r="A2070" t="s">
        <v>765</v>
      </c>
      <c r="B2070" t="str">
        <f>VLOOKUP(B2067,Tabelle3!$A$2:$E$33,4,FALSE)</f>
        <v>""</v>
      </c>
      <c r="D2070" t="str">
        <f t="shared" ref="D2070:D2133" si="1695">IF(ISNUMBER(B2070),(A2070&amp;B2070),"")</f>
        <v/>
      </c>
    </row>
    <row r="2071" spans="1:4" x14ac:dyDescent="0.55000000000000004">
      <c r="A2071" t="s">
        <v>6</v>
      </c>
      <c r="D2071" t="str">
        <f t="shared" ref="D2071:D2134" si="1696">A2071</f>
        <v xml:space="preserve">  },</v>
      </c>
    </row>
    <row r="2072" spans="1:4" x14ac:dyDescent="0.55000000000000004">
      <c r="A2072" t="s">
        <v>353</v>
      </c>
      <c r="D2072" t="str">
        <f t="shared" si="1696"/>
        <v xml:space="preserve">  "28-48": {</v>
      </c>
    </row>
    <row r="2073" spans="1:4" x14ac:dyDescent="0.55000000000000004">
      <c r="A2073" t="s">
        <v>58</v>
      </c>
      <c r="B2073">
        <f t="shared" ref="B2073" si="1697">_xlfn.NUMBERVALUE(RIGHT(A2073,2))</f>
        <v>19</v>
      </c>
      <c r="D2073" t="str">
        <f t="shared" ref="D2073:D2136" si="1698">A2073&amp;","</f>
        <v xml:space="preserve">    "resultPage": 19,</v>
      </c>
    </row>
    <row r="2074" spans="1:4" x14ac:dyDescent="0.55000000000000004">
      <c r="A2074" t="s">
        <v>763</v>
      </c>
      <c r="B2074" t="str">
        <f>VLOOKUP(B2073,Tabelle3!$A$2:$E$33,3,FALSE)</f>
        <v>Struck off Balance</v>
      </c>
      <c r="C2074" t="s">
        <v>762</v>
      </c>
      <c r="D2074" t="str">
        <f t="shared" ref="D2074" si="1699">_xlfn.CONCAT(A2074:C2074)</f>
        <v xml:space="preserve">    "message":  "Struck off Balance",</v>
      </c>
    </row>
    <row r="2075" spans="1:4" x14ac:dyDescent="0.55000000000000004">
      <c r="A2075" t="s">
        <v>764</v>
      </c>
      <c r="B2075" t="str">
        <f>VLOOKUP(B2073,Tabelle3!$A$2:$E$33,5,FALSE)</f>
        <v>Only Green Only Yellow</v>
      </c>
      <c r="C2075" t="s">
        <v>762</v>
      </c>
      <c r="D2075" t="str">
        <f t="shared" si="1694"/>
        <v xml:space="preserve">    "nextInstruction":  "Only Green Only Yellow",</v>
      </c>
    </row>
    <row r="2076" spans="1:4" x14ac:dyDescent="0.55000000000000004">
      <c r="A2076" t="s">
        <v>765</v>
      </c>
      <c r="B2076">
        <f>VLOOKUP(B2073,Tabelle3!$A$2:$E$33,4,FALSE)</f>
        <v>0</v>
      </c>
      <c r="D2076" t="str">
        <f t="shared" ref="D2076:D2139" si="1700">IF(ISNUMBER(B2076),(A2076&amp;B2076),"")</f>
        <v xml:space="preserve">    "damageModifier": 0</v>
      </c>
    </row>
    <row r="2077" spans="1:4" x14ac:dyDescent="0.55000000000000004">
      <c r="A2077" t="s">
        <v>6</v>
      </c>
      <c r="D2077" t="str">
        <f t="shared" ref="D2077:D2140" si="1701">A2077</f>
        <v xml:space="preserve">  },</v>
      </c>
    </row>
    <row r="2078" spans="1:4" x14ac:dyDescent="0.55000000000000004">
      <c r="A2078" t="s">
        <v>354</v>
      </c>
      <c r="D2078" t="str">
        <f t="shared" si="1701"/>
        <v xml:space="preserve">  "30-4": {</v>
      </c>
    </row>
    <row r="2079" spans="1:4" x14ac:dyDescent="0.55000000000000004">
      <c r="A2079" t="s">
        <v>285</v>
      </c>
      <c r="B2079">
        <f t="shared" ref="B2079" si="1702">_xlfn.NUMBERVALUE(RIGHT(A2079,2))</f>
        <v>15</v>
      </c>
      <c r="D2079" t="str">
        <f t="shared" ref="D2079:D2142" si="1703">A2079&amp;","</f>
        <v xml:space="preserve">    "resultPage": 15,</v>
      </c>
    </row>
    <row r="2080" spans="1:4" x14ac:dyDescent="0.55000000000000004">
      <c r="A2080" t="s">
        <v>763</v>
      </c>
      <c r="B2080" t="str">
        <f>VLOOKUP(B2079,Tabelle3!$A$2:$E$33,3,FALSE)</f>
        <v>Swinging Down</v>
      </c>
      <c r="C2080" t="s">
        <v>762</v>
      </c>
      <c r="D2080" t="str">
        <f t="shared" ref="D2080" si="1704">_xlfn.CONCAT(A2080:C2080)</f>
        <v xml:space="preserve">    "message":  "Swinging Down",</v>
      </c>
    </row>
    <row r="2081" spans="1:4" x14ac:dyDescent="0.55000000000000004">
      <c r="A2081" t="s">
        <v>764</v>
      </c>
      <c r="B2081" t="str">
        <f>VLOOKUP(B2079,Tabelle3!$A$2:$E$33,5,FALSE)</f>
        <v/>
      </c>
      <c r="C2081" t="s">
        <v>762</v>
      </c>
      <c r="D2081" t="str">
        <f t="shared" si="1694"/>
        <v xml:space="preserve">    "nextInstruction":  "",</v>
      </c>
    </row>
    <row r="2082" spans="1:4" x14ac:dyDescent="0.55000000000000004">
      <c r="A2082" t="s">
        <v>765</v>
      </c>
      <c r="B2082" t="str">
        <f>VLOOKUP(B2079,Tabelle3!$A$2:$E$33,4,FALSE)</f>
        <v>""</v>
      </c>
      <c r="D2082" t="str">
        <f t="shared" ref="D2082:D2145" si="1705">IF(ISNUMBER(B2082),(A2082&amp;B2082),"")</f>
        <v/>
      </c>
    </row>
    <row r="2083" spans="1:4" x14ac:dyDescent="0.55000000000000004">
      <c r="A2083" t="s">
        <v>6</v>
      </c>
      <c r="D2083" t="str">
        <f t="shared" ref="D2083:D2146" si="1706">A2083</f>
        <v xml:space="preserve">  },</v>
      </c>
    </row>
    <row r="2084" spans="1:4" x14ac:dyDescent="0.55000000000000004">
      <c r="A2084" t="s">
        <v>355</v>
      </c>
      <c r="D2084" t="str">
        <f t="shared" si="1706"/>
        <v xml:space="preserve">  "30-6": {</v>
      </c>
    </row>
    <row r="2085" spans="1:4" x14ac:dyDescent="0.55000000000000004">
      <c r="A2085" t="s">
        <v>5</v>
      </c>
      <c r="B2085">
        <f t="shared" ref="B2085" si="1707">_xlfn.NUMBERVALUE(RIGHT(A2085,2))</f>
        <v>5</v>
      </c>
      <c r="D2085" t="str">
        <f t="shared" ref="D2085:D2148" si="1708">A2085&amp;","</f>
        <v xml:space="preserve">    "resultPage": 5,</v>
      </c>
    </row>
    <row r="2086" spans="1:4" x14ac:dyDescent="0.55000000000000004">
      <c r="A2086" t="s">
        <v>763</v>
      </c>
      <c r="B2086" t="str">
        <f>VLOOKUP(B2085,Tabelle3!$A$2:$E$33,3,FALSE)</f>
        <v>Swinging Low</v>
      </c>
      <c r="C2086" t="s">
        <v>762</v>
      </c>
      <c r="D2086" t="str">
        <f t="shared" ref="D2086" si="1709">_xlfn.CONCAT(A2086:C2086)</f>
        <v xml:space="preserve">    "message":  "Swinging Low",</v>
      </c>
    </row>
    <row r="2087" spans="1:4" x14ac:dyDescent="0.55000000000000004">
      <c r="A2087" t="s">
        <v>764</v>
      </c>
      <c r="B2087" t="str">
        <f>VLOOKUP(B2085,Tabelle3!$A$2:$E$33,5,FALSE)</f>
        <v>No Blue</v>
      </c>
      <c r="C2087" t="s">
        <v>762</v>
      </c>
      <c r="D2087" t="str">
        <f t="shared" si="1694"/>
        <v xml:space="preserve">    "nextInstruction":  "No Blue",</v>
      </c>
    </row>
    <row r="2088" spans="1:4" x14ac:dyDescent="0.55000000000000004">
      <c r="A2088" t="s">
        <v>765</v>
      </c>
      <c r="B2088" t="str">
        <f>VLOOKUP(B2085,Tabelle3!$A$2:$E$33,4,FALSE)</f>
        <v>""</v>
      </c>
      <c r="D2088" t="str">
        <f t="shared" ref="D2088:D2151" si="1710">IF(ISNUMBER(B2088),(A2088&amp;B2088),"")</f>
        <v/>
      </c>
    </row>
    <row r="2089" spans="1:4" x14ac:dyDescent="0.55000000000000004">
      <c r="A2089" t="s">
        <v>6</v>
      </c>
      <c r="D2089" t="str">
        <f t="shared" ref="D2089:D2152" si="1711">A2089</f>
        <v xml:space="preserve">  },</v>
      </c>
    </row>
    <row r="2090" spans="1:4" x14ac:dyDescent="0.55000000000000004">
      <c r="A2090" t="s">
        <v>356</v>
      </c>
      <c r="D2090" t="str">
        <f t="shared" si="1711"/>
        <v xml:space="preserve">  "30-8": {</v>
      </c>
    </row>
    <row r="2091" spans="1:4" x14ac:dyDescent="0.55000000000000004">
      <c r="A2091" t="s">
        <v>116</v>
      </c>
      <c r="B2091">
        <f t="shared" ref="B2091" si="1712">_xlfn.NUMBERVALUE(RIGHT(A2091,2))</f>
        <v>3</v>
      </c>
      <c r="D2091" t="str">
        <f t="shared" ref="D2091:D2154" si="1713">A2091&amp;","</f>
        <v xml:space="preserve">    "resultPage": 3,</v>
      </c>
    </row>
    <row r="2092" spans="1:4" x14ac:dyDescent="0.55000000000000004">
      <c r="A2092" t="s">
        <v>763</v>
      </c>
      <c r="B2092" t="str">
        <f>VLOOKUP(B2091,Tabelle3!$A$2:$E$33,3,FALSE)</f>
        <v>Swinging High</v>
      </c>
      <c r="C2092" t="s">
        <v>762</v>
      </c>
      <c r="D2092" t="str">
        <f t="shared" ref="D2092" si="1714">_xlfn.CONCAT(A2092:C2092)</f>
        <v xml:space="preserve">    "message":  "Swinging High",</v>
      </c>
    </row>
    <row r="2093" spans="1:4" x14ac:dyDescent="0.55000000000000004">
      <c r="A2093" t="s">
        <v>764</v>
      </c>
      <c r="B2093" t="str">
        <f>VLOOKUP(B2091,Tabelle3!$A$2:$E$33,5,FALSE)</f>
        <v>No Red</v>
      </c>
      <c r="C2093" t="s">
        <v>762</v>
      </c>
      <c r="D2093" t="str">
        <f t="shared" si="1694"/>
        <v xml:space="preserve">    "nextInstruction":  "No Red",</v>
      </c>
    </row>
    <row r="2094" spans="1:4" x14ac:dyDescent="0.55000000000000004">
      <c r="A2094" t="s">
        <v>765</v>
      </c>
      <c r="B2094" t="str">
        <f>VLOOKUP(B2091,Tabelle3!$A$2:$E$33,4,FALSE)</f>
        <v>""</v>
      </c>
      <c r="D2094" t="str">
        <f t="shared" ref="D2094:D2157" si="1715">IF(ISNUMBER(B2094),(A2094&amp;B2094),"")</f>
        <v/>
      </c>
    </row>
    <row r="2095" spans="1:4" x14ac:dyDescent="0.55000000000000004">
      <c r="A2095" t="s">
        <v>6</v>
      </c>
      <c r="D2095" t="str">
        <f t="shared" ref="D2095:D2158" si="1716">A2095</f>
        <v xml:space="preserve">  },</v>
      </c>
    </row>
    <row r="2096" spans="1:4" x14ac:dyDescent="0.55000000000000004">
      <c r="A2096" t="s">
        <v>357</v>
      </c>
      <c r="D2096" t="str">
        <f t="shared" si="1716"/>
        <v xml:space="preserve">  "30-10": {</v>
      </c>
    </row>
    <row r="2097" spans="1:4" x14ac:dyDescent="0.55000000000000004">
      <c r="A2097" t="s">
        <v>116</v>
      </c>
      <c r="B2097">
        <f t="shared" ref="B2097" si="1717">_xlfn.NUMBERVALUE(RIGHT(A2097,2))</f>
        <v>3</v>
      </c>
      <c r="D2097" t="str">
        <f t="shared" ref="D2097:D2160" si="1718">A2097&amp;","</f>
        <v xml:space="preserve">    "resultPage": 3,</v>
      </c>
    </row>
    <row r="2098" spans="1:4" x14ac:dyDescent="0.55000000000000004">
      <c r="A2098" t="s">
        <v>763</v>
      </c>
      <c r="B2098" t="str">
        <f>VLOOKUP(B2097,Tabelle3!$A$2:$E$33,3,FALSE)</f>
        <v>Swinging High</v>
      </c>
      <c r="C2098" t="s">
        <v>762</v>
      </c>
      <c r="D2098" t="str">
        <f t="shared" ref="D2098" si="1719">_xlfn.CONCAT(A2098:C2098)</f>
        <v xml:space="preserve">    "message":  "Swinging High",</v>
      </c>
    </row>
    <row r="2099" spans="1:4" x14ac:dyDescent="0.55000000000000004">
      <c r="A2099" t="s">
        <v>764</v>
      </c>
      <c r="B2099" t="str">
        <f>VLOOKUP(B2097,Tabelle3!$A$2:$E$33,5,FALSE)</f>
        <v>No Red</v>
      </c>
      <c r="C2099" t="s">
        <v>762</v>
      </c>
      <c r="D2099" t="str">
        <f t="shared" si="1694"/>
        <v xml:space="preserve">    "nextInstruction":  "No Red",</v>
      </c>
    </row>
    <row r="2100" spans="1:4" x14ac:dyDescent="0.55000000000000004">
      <c r="A2100" t="s">
        <v>765</v>
      </c>
      <c r="B2100" t="str">
        <f>VLOOKUP(B2097,Tabelle3!$A$2:$E$33,4,FALSE)</f>
        <v>""</v>
      </c>
      <c r="D2100" t="str">
        <f t="shared" ref="D2100:D2163" si="1720">IF(ISNUMBER(B2100),(A2100&amp;B2100),"")</f>
        <v/>
      </c>
    </row>
    <row r="2101" spans="1:4" x14ac:dyDescent="0.55000000000000004">
      <c r="A2101" t="s">
        <v>6</v>
      </c>
      <c r="D2101" t="str">
        <f t="shared" ref="D2101:D2164" si="1721">A2101</f>
        <v xml:space="preserve">  },</v>
      </c>
    </row>
    <row r="2102" spans="1:4" x14ac:dyDescent="0.55000000000000004">
      <c r="A2102" t="s">
        <v>358</v>
      </c>
      <c r="D2102" t="str">
        <f t="shared" si="1721"/>
        <v xml:space="preserve">  "30-12": {</v>
      </c>
    </row>
    <row r="2103" spans="1:4" x14ac:dyDescent="0.55000000000000004">
      <c r="A2103" t="s">
        <v>116</v>
      </c>
      <c r="B2103">
        <f t="shared" ref="B2103" si="1722">_xlfn.NUMBERVALUE(RIGHT(A2103,2))</f>
        <v>3</v>
      </c>
      <c r="D2103" t="str">
        <f t="shared" ref="D2103:D2166" si="1723">A2103&amp;","</f>
        <v xml:space="preserve">    "resultPage": 3,</v>
      </c>
    </row>
    <row r="2104" spans="1:4" x14ac:dyDescent="0.55000000000000004">
      <c r="A2104" t="s">
        <v>763</v>
      </c>
      <c r="B2104" t="str">
        <f>VLOOKUP(B2103,Tabelle3!$A$2:$E$33,3,FALSE)</f>
        <v>Swinging High</v>
      </c>
      <c r="C2104" t="s">
        <v>762</v>
      </c>
      <c r="D2104" t="str">
        <f t="shared" ref="D2104" si="1724">_xlfn.CONCAT(A2104:C2104)</f>
        <v xml:space="preserve">    "message":  "Swinging High",</v>
      </c>
    </row>
    <row r="2105" spans="1:4" x14ac:dyDescent="0.55000000000000004">
      <c r="A2105" t="s">
        <v>764</v>
      </c>
      <c r="B2105" t="str">
        <f>VLOOKUP(B2103,Tabelle3!$A$2:$E$33,5,FALSE)</f>
        <v>No Red</v>
      </c>
      <c r="C2105" t="s">
        <v>762</v>
      </c>
      <c r="D2105" t="str">
        <f t="shared" si="1694"/>
        <v xml:space="preserve">    "nextInstruction":  "No Red",</v>
      </c>
    </row>
    <row r="2106" spans="1:4" x14ac:dyDescent="0.55000000000000004">
      <c r="A2106" t="s">
        <v>765</v>
      </c>
      <c r="B2106" t="str">
        <f>VLOOKUP(B2103,Tabelle3!$A$2:$E$33,4,FALSE)</f>
        <v>""</v>
      </c>
      <c r="D2106" t="str">
        <f t="shared" ref="D2106:D2169" si="1725">IF(ISNUMBER(B2106),(A2106&amp;B2106),"")</f>
        <v/>
      </c>
    </row>
    <row r="2107" spans="1:4" x14ac:dyDescent="0.55000000000000004">
      <c r="A2107" t="s">
        <v>6</v>
      </c>
      <c r="D2107" t="str">
        <f t="shared" ref="D2107:D2170" si="1726">A2107</f>
        <v xml:space="preserve">  },</v>
      </c>
    </row>
    <row r="2108" spans="1:4" x14ac:dyDescent="0.55000000000000004">
      <c r="A2108" t="s">
        <v>359</v>
      </c>
      <c r="D2108" t="str">
        <f t="shared" si="1726"/>
        <v xml:space="preserve">  "30-14": {</v>
      </c>
    </row>
    <row r="2109" spans="1:4" x14ac:dyDescent="0.55000000000000004">
      <c r="A2109" t="s">
        <v>5</v>
      </c>
      <c r="B2109">
        <f t="shared" ref="B2109" si="1727">_xlfn.NUMBERVALUE(RIGHT(A2109,2))</f>
        <v>5</v>
      </c>
      <c r="D2109" t="str">
        <f t="shared" ref="D2109:D2172" si="1728">A2109&amp;","</f>
        <v xml:space="preserve">    "resultPage": 5,</v>
      </c>
    </row>
    <row r="2110" spans="1:4" x14ac:dyDescent="0.55000000000000004">
      <c r="A2110" t="s">
        <v>763</v>
      </c>
      <c r="B2110" t="str">
        <f>VLOOKUP(B2109,Tabelle3!$A$2:$E$33,3,FALSE)</f>
        <v>Swinging Low</v>
      </c>
      <c r="C2110" t="s">
        <v>762</v>
      </c>
      <c r="D2110" t="str">
        <f t="shared" ref="D2110" si="1729">_xlfn.CONCAT(A2110:C2110)</f>
        <v xml:space="preserve">    "message":  "Swinging Low",</v>
      </c>
    </row>
    <row r="2111" spans="1:4" x14ac:dyDescent="0.55000000000000004">
      <c r="A2111" t="s">
        <v>764</v>
      </c>
      <c r="B2111" t="str">
        <f>VLOOKUP(B2109,Tabelle3!$A$2:$E$33,5,FALSE)</f>
        <v>No Blue</v>
      </c>
      <c r="C2111" t="s">
        <v>762</v>
      </c>
      <c r="D2111" t="str">
        <f t="shared" si="1694"/>
        <v xml:space="preserve">    "nextInstruction":  "No Blue",</v>
      </c>
    </row>
    <row r="2112" spans="1:4" x14ac:dyDescent="0.55000000000000004">
      <c r="A2112" t="s">
        <v>765</v>
      </c>
      <c r="B2112" t="str">
        <f>VLOOKUP(B2109,Tabelle3!$A$2:$E$33,4,FALSE)</f>
        <v>""</v>
      </c>
      <c r="D2112" t="str">
        <f t="shared" ref="D2112:D2175" si="1730">IF(ISNUMBER(B2112),(A2112&amp;B2112),"")</f>
        <v/>
      </c>
    </row>
    <row r="2113" spans="1:4" x14ac:dyDescent="0.55000000000000004">
      <c r="A2113" t="s">
        <v>6</v>
      </c>
      <c r="D2113" t="str">
        <f t="shared" ref="D2113:D2176" si="1731">A2113</f>
        <v xml:space="preserve">  },</v>
      </c>
    </row>
    <row r="2114" spans="1:4" x14ac:dyDescent="0.55000000000000004">
      <c r="A2114" t="s">
        <v>360</v>
      </c>
      <c r="D2114" t="str">
        <f t="shared" si="1731"/>
        <v xml:space="preserve">  "30-16": {</v>
      </c>
    </row>
    <row r="2115" spans="1:4" x14ac:dyDescent="0.55000000000000004">
      <c r="A2115" t="s">
        <v>15</v>
      </c>
      <c r="B2115">
        <f t="shared" ref="B2115" si="1732">_xlfn.NUMBERVALUE(RIGHT(A2115,2))</f>
        <v>57</v>
      </c>
      <c r="D2115" t="str">
        <f t="shared" ref="D2115:D2178" si="1733">A2115&amp;","</f>
        <v xml:space="preserve">    "resultPage": 57,</v>
      </c>
    </row>
    <row r="2116" spans="1:4" x14ac:dyDescent="0.55000000000000004">
      <c r="A2116" t="s">
        <v>763</v>
      </c>
      <c r="B2116" t="str">
        <f>VLOOKUP(B2115,Tabelle3!$A$2:$E$33,3,FALSE)</f>
        <v>Extended Range Blocking</v>
      </c>
      <c r="C2116" t="s">
        <v>762</v>
      </c>
      <c r="D2116" t="str">
        <f t="shared" ref="D2116" si="1734">_xlfn.CONCAT(A2116:C2116)</f>
        <v xml:space="preserve">    "message":  "Extended Range Blocking",</v>
      </c>
    </row>
    <row r="2117" spans="1:4" x14ac:dyDescent="0.55000000000000004">
      <c r="A2117" t="s">
        <v>764</v>
      </c>
      <c r="B2117" t="str">
        <f>VLOOKUP(B2115,Tabelle3!$A$2:$E$33,5,FALSE)</f>
        <v>Only Extended Range</v>
      </c>
      <c r="C2117" t="s">
        <v>762</v>
      </c>
      <c r="D2117" t="str">
        <f t="shared" si="1694"/>
        <v xml:space="preserve">    "nextInstruction":  "Only Extended Range",</v>
      </c>
    </row>
    <row r="2118" spans="1:4" x14ac:dyDescent="0.55000000000000004">
      <c r="A2118" t="s">
        <v>765</v>
      </c>
      <c r="B2118" t="str">
        <f>VLOOKUP(B2115,Tabelle3!$A$2:$E$33,4,FALSE)</f>
        <v>""</v>
      </c>
      <c r="D2118" t="str">
        <f t="shared" ref="D2118:D2181" si="1735">IF(ISNUMBER(B2118),(A2118&amp;B2118),"")</f>
        <v/>
      </c>
    </row>
    <row r="2119" spans="1:4" x14ac:dyDescent="0.55000000000000004">
      <c r="A2119" t="s">
        <v>6</v>
      </c>
      <c r="D2119" t="str">
        <f t="shared" ref="D2119:D2182" si="1736">A2119</f>
        <v xml:space="preserve">  },</v>
      </c>
    </row>
    <row r="2120" spans="1:4" x14ac:dyDescent="0.55000000000000004">
      <c r="A2120" t="s">
        <v>361</v>
      </c>
      <c r="D2120" t="str">
        <f t="shared" si="1736"/>
        <v xml:space="preserve">  "30-18": {</v>
      </c>
    </row>
    <row r="2121" spans="1:4" x14ac:dyDescent="0.55000000000000004">
      <c r="A2121" t="s">
        <v>116</v>
      </c>
      <c r="B2121">
        <f t="shared" ref="B2121" si="1737">_xlfn.NUMBERVALUE(RIGHT(A2121,2))</f>
        <v>3</v>
      </c>
      <c r="D2121" t="str">
        <f t="shared" ref="D2121:D2184" si="1738">A2121&amp;","</f>
        <v xml:space="preserve">    "resultPage": 3,</v>
      </c>
    </row>
    <row r="2122" spans="1:4" x14ac:dyDescent="0.55000000000000004">
      <c r="A2122" t="s">
        <v>763</v>
      </c>
      <c r="B2122" t="str">
        <f>VLOOKUP(B2121,Tabelle3!$A$2:$E$33,3,FALSE)</f>
        <v>Swinging High</v>
      </c>
      <c r="C2122" t="s">
        <v>762</v>
      </c>
      <c r="D2122" t="str">
        <f t="shared" ref="D2122" si="1739">_xlfn.CONCAT(A2122:C2122)</f>
        <v xml:space="preserve">    "message":  "Swinging High",</v>
      </c>
    </row>
    <row r="2123" spans="1:4" x14ac:dyDescent="0.55000000000000004">
      <c r="A2123" t="s">
        <v>764</v>
      </c>
      <c r="B2123" t="str">
        <f>VLOOKUP(B2121,Tabelle3!$A$2:$E$33,5,FALSE)</f>
        <v>No Red</v>
      </c>
      <c r="C2123" t="s">
        <v>762</v>
      </c>
      <c r="D2123" t="str">
        <f t="shared" si="1694"/>
        <v xml:space="preserve">    "nextInstruction":  "No Red",</v>
      </c>
    </row>
    <row r="2124" spans="1:4" x14ac:dyDescent="0.55000000000000004">
      <c r="A2124" t="s">
        <v>765</v>
      </c>
      <c r="B2124" t="str">
        <f>VLOOKUP(B2121,Tabelle3!$A$2:$E$33,4,FALSE)</f>
        <v>""</v>
      </c>
      <c r="D2124" t="str">
        <f t="shared" ref="D2124:D2187" si="1740">IF(ISNUMBER(B2124),(A2124&amp;B2124),"")</f>
        <v/>
      </c>
    </row>
    <row r="2125" spans="1:4" x14ac:dyDescent="0.55000000000000004">
      <c r="A2125" t="s">
        <v>6</v>
      </c>
      <c r="D2125" t="str">
        <f t="shared" ref="D2125:D2188" si="1741">A2125</f>
        <v xml:space="preserve">  },</v>
      </c>
    </row>
    <row r="2126" spans="1:4" x14ac:dyDescent="0.55000000000000004">
      <c r="A2126" t="s">
        <v>362</v>
      </c>
      <c r="D2126" t="str">
        <f t="shared" si="1741"/>
        <v xml:space="preserve">  "30-20": {</v>
      </c>
    </row>
    <row r="2127" spans="1:4" x14ac:dyDescent="0.55000000000000004">
      <c r="A2127" t="s">
        <v>116</v>
      </c>
      <c r="B2127">
        <f t="shared" ref="B2127" si="1742">_xlfn.NUMBERVALUE(RIGHT(A2127,2))</f>
        <v>3</v>
      </c>
      <c r="D2127" t="str">
        <f t="shared" ref="D2127:D2190" si="1743">A2127&amp;","</f>
        <v xml:space="preserve">    "resultPage": 3,</v>
      </c>
    </row>
    <row r="2128" spans="1:4" x14ac:dyDescent="0.55000000000000004">
      <c r="A2128" t="s">
        <v>763</v>
      </c>
      <c r="B2128" t="str">
        <f>VLOOKUP(B2127,Tabelle3!$A$2:$E$33,3,FALSE)</f>
        <v>Swinging High</v>
      </c>
      <c r="C2128" t="s">
        <v>762</v>
      </c>
      <c r="D2128" t="str">
        <f t="shared" ref="D2128" si="1744">_xlfn.CONCAT(A2128:C2128)</f>
        <v xml:space="preserve">    "message":  "Swinging High",</v>
      </c>
    </row>
    <row r="2129" spans="1:4" x14ac:dyDescent="0.55000000000000004">
      <c r="A2129" t="s">
        <v>764</v>
      </c>
      <c r="B2129" t="str">
        <f>VLOOKUP(B2127,Tabelle3!$A$2:$E$33,5,FALSE)</f>
        <v>No Red</v>
      </c>
      <c r="C2129" t="s">
        <v>762</v>
      </c>
      <c r="D2129" t="str">
        <f t="shared" si="1694"/>
        <v xml:space="preserve">    "nextInstruction":  "No Red",</v>
      </c>
    </row>
    <row r="2130" spans="1:4" x14ac:dyDescent="0.55000000000000004">
      <c r="A2130" t="s">
        <v>765</v>
      </c>
      <c r="B2130" t="str">
        <f>VLOOKUP(B2127,Tabelle3!$A$2:$E$33,4,FALSE)</f>
        <v>""</v>
      </c>
      <c r="D2130" t="str">
        <f t="shared" ref="D2130:D2193" si="1745">IF(ISNUMBER(B2130),(A2130&amp;B2130),"")</f>
        <v/>
      </c>
    </row>
    <row r="2131" spans="1:4" x14ac:dyDescent="0.55000000000000004">
      <c r="A2131" t="s">
        <v>6</v>
      </c>
      <c r="D2131" t="str">
        <f t="shared" ref="D2131:D2194" si="1746">A2131</f>
        <v xml:space="preserve">  },</v>
      </c>
    </row>
    <row r="2132" spans="1:4" x14ac:dyDescent="0.55000000000000004">
      <c r="A2132" t="s">
        <v>363</v>
      </c>
      <c r="D2132" t="str">
        <f t="shared" si="1746"/>
        <v xml:space="preserve">  "30-22": {</v>
      </c>
    </row>
    <row r="2133" spans="1:4" x14ac:dyDescent="0.55000000000000004">
      <c r="A2133" t="s">
        <v>5</v>
      </c>
      <c r="B2133">
        <f t="shared" ref="B2133" si="1747">_xlfn.NUMBERVALUE(RIGHT(A2133,2))</f>
        <v>5</v>
      </c>
      <c r="D2133" t="str">
        <f t="shared" ref="D2133:D2196" si="1748">A2133&amp;","</f>
        <v xml:space="preserve">    "resultPage": 5,</v>
      </c>
    </row>
    <row r="2134" spans="1:4" x14ac:dyDescent="0.55000000000000004">
      <c r="A2134" t="s">
        <v>763</v>
      </c>
      <c r="B2134" t="str">
        <f>VLOOKUP(B2133,Tabelle3!$A$2:$E$33,3,FALSE)</f>
        <v>Swinging Low</v>
      </c>
      <c r="C2134" t="s">
        <v>762</v>
      </c>
      <c r="D2134" t="str">
        <f t="shared" ref="D2134:D2195" si="1749">_xlfn.CONCAT(A2134:C2134)</f>
        <v xml:space="preserve">    "message":  "Swinging Low",</v>
      </c>
    </row>
    <row r="2135" spans="1:4" x14ac:dyDescent="0.55000000000000004">
      <c r="A2135" t="s">
        <v>764</v>
      </c>
      <c r="B2135" t="str">
        <f>VLOOKUP(B2133,Tabelle3!$A$2:$E$33,5,FALSE)</f>
        <v>No Blue</v>
      </c>
      <c r="C2135" t="s">
        <v>762</v>
      </c>
      <c r="D2135" t="str">
        <f t="shared" si="1749"/>
        <v xml:space="preserve">    "nextInstruction":  "No Blue",</v>
      </c>
    </row>
    <row r="2136" spans="1:4" x14ac:dyDescent="0.55000000000000004">
      <c r="A2136" t="s">
        <v>765</v>
      </c>
      <c r="B2136" t="str">
        <f>VLOOKUP(B2133,Tabelle3!$A$2:$E$33,4,FALSE)</f>
        <v>""</v>
      </c>
      <c r="D2136" t="str">
        <f t="shared" ref="D2136:D2199" si="1750">IF(ISNUMBER(B2136),(A2136&amp;B2136),"")</f>
        <v/>
      </c>
    </row>
    <row r="2137" spans="1:4" x14ac:dyDescent="0.55000000000000004">
      <c r="A2137" t="s">
        <v>6</v>
      </c>
      <c r="D2137" t="str">
        <f t="shared" ref="D2137:D2200" si="1751">A2137</f>
        <v xml:space="preserve">  },</v>
      </c>
    </row>
    <row r="2138" spans="1:4" x14ac:dyDescent="0.55000000000000004">
      <c r="A2138" t="s">
        <v>364</v>
      </c>
      <c r="D2138" t="str">
        <f t="shared" si="1751"/>
        <v xml:space="preserve">  "30-24": {</v>
      </c>
    </row>
    <row r="2139" spans="1:4" x14ac:dyDescent="0.55000000000000004">
      <c r="A2139" t="s">
        <v>116</v>
      </c>
      <c r="B2139">
        <f t="shared" ref="B2139" si="1752">_xlfn.NUMBERVALUE(RIGHT(A2139,2))</f>
        <v>3</v>
      </c>
      <c r="D2139" t="str">
        <f t="shared" ref="D2139:D2202" si="1753">A2139&amp;","</f>
        <v xml:space="preserve">    "resultPage": 3,</v>
      </c>
    </row>
    <row r="2140" spans="1:4" x14ac:dyDescent="0.55000000000000004">
      <c r="A2140" t="s">
        <v>763</v>
      </c>
      <c r="B2140" t="str">
        <f>VLOOKUP(B2139,Tabelle3!$A$2:$E$33,3,FALSE)</f>
        <v>Swinging High</v>
      </c>
      <c r="C2140" t="s">
        <v>762</v>
      </c>
      <c r="D2140" t="str">
        <f t="shared" ref="D2140" si="1754">_xlfn.CONCAT(A2140:C2140)</f>
        <v xml:space="preserve">    "message":  "Swinging High",</v>
      </c>
    </row>
    <row r="2141" spans="1:4" x14ac:dyDescent="0.55000000000000004">
      <c r="A2141" t="s">
        <v>764</v>
      </c>
      <c r="B2141" t="str">
        <f>VLOOKUP(B2139,Tabelle3!$A$2:$E$33,5,FALSE)</f>
        <v>No Red</v>
      </c>
      <c r="C2141" t="s">
        <v>762</v>
      </c>
      <c r="D2141" t="str">
        <f t="shared" si="1749"/>
        <v xml:space="preserve">    "nextInstruction":  "No Red",</v>
      </c>
    </row>
    <row r="2142" spans="1:4" x14ac:dyDescent="0.55000000000000004">
      <c r="A2142" t="s">
        <v>765</v>
      </c>
      <c r="B2142" t="str">
        <f>VLOOKUP(B2139,Tabelle3!$A$2:$E$33,4,FALSE)</f>
        <v>""</v>
      </c>
      <c r="D2142" t="str">
        <f t="shared" ref="D2142:D2205" si="1755">IF(ISNUMBER(B2142),(A2142&amp;B2142),"")</f>
        <v/>
      </c>
    </row>
    <row r="2143" spans="1:4" x14ac:dyDescent="0.55000000000000004">
      <c r="A2143" t="s">
        <v>6</v>
      </c>
      <c r="D2143" t="str">
        <f t="shared" ref="D2143:D2206" si="1756">A2143</f>
        <v xml:space="preserve">  },</v>
      </c>
    </row>
    <row r="2144" spans="1:4" x14ac:dyDescent="0.55000000000000004">
      <c r="A2144" t="s">
        <v>365</v>
      </c>
      <c r="D2144" t="str">
        <f t="shared" si="1756"/>
        <v xml:space="preserve">  "30-26": {</v>
      </c>
    </row>
    <row r="2145" spans="1:4" x14ac:dyDescent="0.55000000000000004">
      <c r="A2145" t="s">
        <v>116</v>
      </c>
      <c r="B2145">
        <f t="shared" ref="B2145" si="1757">_xlfn.NUMBERVALUE(RIGHT(A2145,2))</f>
        <v>3</v>
      </c>
      <c r="D2145" t="str">
        <f t="shared" ref="D2145:D2208" si="1758">A2145&amp;","</f>
        <v xml:space="preserve">    "resultPage": 3,</v>
      </c>
    </row>
    <row r="2146" spans="1:4" x14ac:dyDescent="0.55000000000000004">
      <c r="A2146" t="s">
        <v>763</v>
      </c>
      <c r="B2146" t="str">
        <f>VLOOKUP(B2145,Tabelle3!$A$2:$E$33,3,FALSE)</f>
        <v>Swinging High</v>
      </c>
      <c r="C2146" t="s">
        <v>762</v>
      </c>
      <c r="D2146" t="str">
        <f t="shared" ref="D2146" si="1759">_xlfn.CONCAT(A2146:C2146)</f>
        <v xml:space="preserve">    "message":  "Swinging High",</v>
      </c>
    </row>
    <row r="2147" spans="1:4" x14ac:dyDescent="0.55000000000000004">
      <c r="A2147" t="s">
        <v>764</v>
      </c>
      <c r="B2147" t="str">
        <f>VLOOKUP(B2145,Tabelle3!$A$2:$E$33,5,FALSE)</f>
        <v>No Red</v>
      </c>
      <c r="C2147" t="s">
        <v>762</v>
      </c>
      <c r="D2147" t="str">
        <f t="shared" si="1749"/>
        <v xml:space="preserve">    "nextInstruction":  "No Red",</v>
      </c>
    </row>
    <row r="2148" spans="1:4" x14ac:dyDescent="0.55000000000000004">
      <c r="A2148" t="s">
        <v>765</v>
      </c>
      <c r="B2148" t="str">
        <f>VLOOKUP(B2145,Tabelle3!$A$2:$E$33,4,FALSE)</f>
        <v>""</v>
      </c>
      <c r="D2148" t="str">
        <f t="shared" ref="D2148:D2211" si="1760">IF(ISNUMBER(B2148),(A2148&amp;B2148),"")</f>
        <v/>
      </c>
    </row>
    <row r="2149" spans="1:4" x14ac:dyDescent="0.55000000000000004">
      <c r="A2149" t="s">
        <v>6</v>
      </c>
      <c r="D2149" t="str">
        <f t="shared" ref="D2149:D2212" si="1761">A2149</f>
        <v xml:space="preserve">  },</v>
      </c>
    </row>
    <row r="2150" spans="1:4" x14ac:dyDescent="0.55000000000000004">
      <c r="A2150" t="s">
        <v>366</v>
      </c>
      <c r="D2150" t="str">
        <f t="shared" si="1761"/>
        <v xml:space="preserve">  "30-28": {</v>
      </c>
    </row>
    <row r="2151" spans="1:4" x14ac:dyDescent="0.55000000000000004">
      <c r="A2151" t="s">
        <v>10</v>
      </c>
      <c r="B2151">
        <f t="shared" ref="B2151" si="1762">_xlfn.NUMBERVALUE(RIGHT(A2151,2))</f>
        <v>31</v>
      </c>
      <c r="D2151" t="str">
        <f t="shared" ref="D2151:D2214" si="1763">A2151&amp;","</f>
        <v xml:space="preserve">    "resultPage": 31,</v>
      </c>
    </row>
    <row r="2152" spans="1:4" x14ac:dyDescent="0.55000000000000004">
      <c r="A2152" t="s">
        <v>763</v>
      </c>
      <c r="B2152" t="str">
        <f>VLOOKUP(B2151,Tabelle3!$A$2:$E$33,3,FALSE)</f>
        <v>Arm Wound</v>
      </c>
      <c r="C2152" t="s">
        <v>762</v>
      </c>
      <c r="D2152" t="str">
        <f t="shared" ref="D2152" si="1764">_xlfn.CONCAT(A2152:C2152)</f>
        <v xml:space="preserve">    "message":  "Arm Wound",</v>
      </c>
    </row>
    <row r="2153" spans="1:4" x14ac:dyDescent="0.55000000000000004">
      <c r="A2153" t="s">
        <v>764</v>
      </c>
      <c r="B2153" t="str">
        <f>VLOOKUP(B2151,Tabelle3!$A$2:$E$33,5,FALSE)</f>
        <v>No Orange</v>
      </c>
      <c r="C2153" t="s">
        <v>762</v>
      </c>
      <c r="D2153" t="str">
        <f t="shared" si="1749"/>
        <v xml:space="preserve">    "nextInstruction":  "No Orange",</v>
      </c>
    </row>
    <row r="2154" spans="1:4" x14ac:dyDescent="0.55000000000000004">
      <c r="A2154" t="s">
        <v>765</v>
      </c>
      <c r="B2154">
        <f>VLOOKUP(B2151,Tabelle3!$A$2:$E$33,4,FALSE)</f>
        <v>3</v>
      </c>
      <c r="D2154" t="str">
        <f t="shared" ref="D2154:D2217" si="1765">IF(ISNUMBER(B2154),(A2154&amp;B2154),"")</f>
        <v xml:space="preserve">    "damageModifier": 3</v>
      </c>
    </row>
    <row r="2155" spans="1:4" x14ac:dyDescent="0.55000000000000004">
      <c r="A2155" t="s">
        <v>6</v>
      </c>
      <c r="D2155" t="str">
        <f t="shared" ref="D2155:D2218" si="1766">A2155</f>
        <v xml:space="preserve">  },</v>
      </c>
    </row>
    <row r="2156" spans="1:4" x14ac:dyDescent="0.55000000000000004">
      <c r="A2156" t="s">
        <v>367</v>
      </c>
      <c r="D2156" t="str">
        <f t="shared" si="1766"/>
        <v xml:space="preserve">  "30-30": {</v>
      </c>
    </row>
    <row r="2157" spans="1:4" x14ac:dyDescent="0.55000000000000004">
      <c r="A2157" t="s">
        <v>274</v>
      </c>
      <c r="B2157">
        <f t="shared" ref="B2157" si="1767">_xlfn.NUMBERVALUE(RIGHT(A2157,2))</f>
        <v>27</v>
      </c>
      <c r="D2157" t="str">
        <f t="shared" ref="D2157:D2220" si="1768">A2157&amp;","</f>
        <v xml:space="preserve">    "resultPage": 27,</v>
      </c>
    </row>
    <row r="2158" spans="1:4" x14ac:dyDescent="0.55000000000000004">
      <c r="A2158" t="s">
        <v>763</v>
      </c>
      <c r="B2158" t="str">
        <f>VLOOKUP(B2157,Tabelle3!$A$2:$E$33,3,FALSE)</f>
        <v>Weapon Dislodged</v>
      </c>
      <c r="C2158" t="s">
        <v>762</v>
      </c>
      <c r="D2158" t="str">
        <f t="shared" ref="D2158" si="1769">_xlfn.CONCAT(A2158:C2158)</f>
        <v xml:space="preserve">    "message":  "Weapon Dislodged",</v>
      </c>
    </row>
    <row r="2159" spans="1:4" x14ac:dyDescent="0.55000000000000004">
      <c r="A2159" t="s">
        <v>764</v>
      </c>
      <c r="B2159" t="str">
        <f>VLOOKUP(B2157,Tabelle3!$A$2:$E$33,5,FALSE)</f>
        <v>Only Green Only Yellow Only Kicks Except Wildswings Until Weapon has been retrieved</v>
      </c>
      <c r="C2159" t="s">
        <v>762</v>
      </c>
      <c r="D2159" t="str">
        <f t="shared" si="1749"/>
        <v xml:space="preserve">    "nextInstruction":  "Only Green Only Yellow Only Kicks Except Wildswings Until Weapon has been retrieved",</v>
      </c>
    </row>
    <row r="2160" spans="1:4" x14ac:dyDescent="0.55000000000000004">
      <c r="A2160" t="s">
        <v>765</v>
      </c>
      <c r="B2160" t="str">
        <f>VLOOKUP(B2157,Tabelle3!$A$2:$E$33,4,FALSE)</f>
        <v>""</v>
      </c>
      <c r="D2160" t="str">
        <f t="shared" ref="D2160:D2223" si="1770">IF(ISNUMBER(B2160),(A2160&amp;B2160),"")</f>
        <v/>
      </c>
    </row>
    <row r="2161" spans="1:4" x14ac:dyDescent="0.55000000000000004">
      <c r="A2161" t="s">
        <v>6</v>
      </c>
      <c r="D2161" t="str">
        <f t="shared" ref="D2161:D2224" si="1771">A2161</f>
        <v xml:space="preserve">  },</v>
      </c>
    </row>
    <row r="2162" spans="1:4" x14ac:dyDescent="0.55000000000000004">
      <c r="A2162" t="s">
        <v>368</v>
      </c>
      <c r="D2162" t="str">
        <f t="shared" si="1771"/>
        <v xml:space="preserve">  "30-32": {</v>
      </c>
    </row>
    <row r="2163" spans="1:4" x14ac:dyDescent="0.55000000000000004">
      <c r="A2163" t="s">
        <v>116</v>
      </c>
      <c r="B2163">
        <f t="shared" ref="B2163" si="1772">_xlfn.NUMBERVALUE(RIGHT(A2163,2))</f>
        <v>3</v>
      </c>
      <c r="D2163" t="str">
        <f t="shared" ref="D2163:D2226" si="1773">A2163&amp;","</f>
        <v xml:space="preserve">    "resultPage": 3,</v>
      </c>
    </row>
    <row r="2164" spans="1:4" x14ac:dyDescent="0.55000000000000004">
      <c r="A2164" t="s">
        <v>763</v>
      </c>
      <c r="B2164" t="str">
        <f>VLOOKUP(B2163,Tabelle3!$A$2:$E$33,3,FALSE)</f>
        <v>Swinging High</v>
      </c>
      <c r="C2164" t="s">
        <v>762</v>
      </c>
      <c r="D2164" t="str">
        <f t="shared" ref="D2164" si="1774">_xlfn.CONCAT(A2164:C2164)</f>
        <v xml:space="preserve">    "message":  "Swinging High",</v>
      </c>
    </row>
    <row r="2165" spans="1:4" x14ac:dyDescent="0.55000000000000004">
      <c r="A2165" t="s">
        <v>764</v>
      </c>
      <c r="B2165" t="str">
        <f>VLOOKUP(B2163,Tabelle3!$A$2:$E$33,5,FALSE)</f>
        <v>No Red</v>
      </c>
      <c r="C2165" t="s">
        <v>762</v>
      </c>
      <c r="D2165" t="str">
        <f t="shared" si="1749"/>
        <v xml:space="preserve">    "nextInstruction":  "No Red",</v>
      </c>
    </row>
    <row r="2166" spans="1:4" x14ac:dyDescent="0.55000000000000004">
      <c r="A2166" t="s">
        <v>765</v>
      </c>
      <c r="B2166" t="str">
        <f>VLOOKUP(B2163,Tabelle3!$A$2:$E$33,4,FALSE)</f>
        <v>""</v>
      </c>
      <c r="D2166" t="str">
        <f t="shared" ref="D2166:D2229" si="1775">IF(ISNUMBER(B2166),(A2166&amp;B2166),"")</f>
        <v/>
      </c>
    </row>
    <row r="2167" spans="1:4" x14ac:dyDescent="0.55000000000000004">
      <c r="A2167" t="s">
        <v>6</v>
      </c>
      <c r="D2167" t="str">
        <f t="shared" ref="D2167:D2230" si="1776">A2167</f>
        <v xml:space="preserve">  },</v>
      </c>
    </row>
    <row r="2168" spans="1:4" x14ac:dyDescent="0.55000000000000004">
      <c r="A2168" t="s">
        <v>369</v>
      </c>
      <c r="D2168" t="str">
        <f t="shared" si="1776"/>
        <v xml:space="preserve">  "30-34": {</v>
      </c>
    </row>
    <row r="2169" spans="1:4" x14ac:dyDescent="0.55000000000000004">
      <c r="A2169" t="s">
        <v>133</v>
      </c>
      <c r="B2169">
        <f t="shared" ref="B2169" si="1777">_xlfn.NUMBERVALUE(RIGHT(A2169,2))</f>
        <v>51</v>
      </c>
      <c r="D2169" t="str">
        <f t="shared" ref="D2169:D2232" si="1778">A2169&amp;","</f>
        <v xml:space="preserve">    "resultPage": 51,</v>
      </c>
    </row>
    <row r="2170" spans="1:4" x14ac:dyDescent="0.55000000000000004">
      <c r="A2170" t="s">
        <v>763</v>
      </c>
      <c r="B2170" t="str">
        <f>VLOOKUP(B2169,Tabelle3!$A$2:$E$33,3,FALSE)</f>
        <v>Kicked Off Balance</v>
      </c>
      <c r="C2170" t="s">
        <v>762</v>
      </c>
      <c r="D2170" t="str">
        <f t="shared" ref="D2170" si="1779">_xlfn.CONCAT(A2170:C2170)</f>
        <v xml:space="preserve">    "message":  "Kicked Off Balance",</v>
      </c>
    </row>
    <row r="2171" spans="1:4" x14ac:dyDescent="0.55000000000000004">
      <c r="A2171" t="s">
        <v>764</v>
      </c>
      <c r="B2171" t="str">
        <f>VLOOKUP(B2169,Tabelle3!$A$2:$E$33,5,FALSE)</f>
        <v>Only Green Only Yellow</v>
      </c>
      <c r="C2171" t="s">
        <v>762</v>
      </c>
      <c r="D2171" t="str">
        <f t="shared" si="1749"/>
        <v xml:space="preserve">    "nextInstruction":  "Only Green Only Yellow",</v>
      </c>
    </row>
    <row r="2172" spans="1:4" x14ac:dyDescent="0.55000000000000004">
      <c r="A2172" t="s">
        <v>765</v>
      </c>
      <c r="B2172">
        <f>VLOOKUP(B2169,Tabelle3!$A$2:$E$33,4,FALSE)</f>
        <v>0</v>
      </c>
      <c r="D2172" t="str">
        <f t="shared" ref="D2172:D2235" si="1780">IF(ISNUMBER(B2172),(A2172&amp;B2172),"")</f>
        <v xml:space="preserve">    "damageModifier": 0</v>
      </c>
    </row>
    <row r="2173" spans="1:4" x14ac:dyDescent="0.55000000000000004">
      <c r="A2173" t="s">
        <v>6</v>
      </c>
      <c r="D2173" t="str">
        <f t="shared" ref="D2173:D2236" si="1781">A2173</f>
        <v xml:space="preserve">  },</v>
      </c>
    </row>
    <row r="2174" spans="1:4" x14ac:dyDescent="0.55000000000000004">
      <c r="A2174" t="s">
        <v>370</v>
      </c>
      <c r="D2174" t="str">
        <f t="shared" si="1781"/>
        <v xml:space="preserve">  "30-36": {</v>
      </c>
    </row>
    <row r="2175" spans="1:4" x14ac:dyDescent="0.55000000000000004">
      <c r="A2175" t="s">
        <v>274</v>
      </c>
      <c r="B2175">
        <f t="shared" ref="B2175" si="1782">_xlfn.NUMBERVALUE(RIGHT(A2175,2))</f>
        <v>27</v>
      </c>
      <c r="D2175" t="str">
        <f t="shared" ref="D2175:D2238" si="1783">A2175&amp;","</f>
        <v xml:space="preserve">    "resultPage": 27,</v>
      </c>
    </row>
    <row r="2176" spans="1:4" x14ac:dyDescent="0.55000000000000004">
      <c r="A2176" t="s">
        <v>763</v>
      </c>
      <c r="B2176" t="str">
        <f>VLOOKUP(B2175,Tabelle3!$A$2:$E$33,3,FALSE)</f>
        <v>Weapon Dislodged</v>
      </c>
      <c r="C2176" t="s">
        <v>762</v>
      </c>
      <c r="D2176" t="str">
        <f t="shared" ref="D2176" si="1784">_xlfn.CONCAT(A2176:C2176)</f>
        <v xml:space="preserve">    "message":  "Weapon Dislodged",</v>
      </c>
    </row>
    <row r="2177" spans="1:4" x14ac:dyDescent="0.55000000000000004">
      <c r="A2177" t="s">
        <v>764</v>
      </c>
      <c r="B2177" t="str">
        <f>VLOOKUP(B2175,Tabelle3!$A$2:$E$33,5,FALSE)</f>
        <v>Only Green Only Yellow Only Kicks Except Wildswings Until Weapon has been retrieved</v>
      </c>
      <c r="C2177" t="s">
        <v>762</v>
      </c>
      <c r="D2177" t="str">
        <f t="shared" si="1749"/>
        <v xml:space="preserve">    "nextInstruction":  "Only Green Only Yellow Only Kicks Except Wildswings Until Weapon has been retrieved",</v>
      </c>
    </row>
    <row r="2178" spans="1:4" x14ac:dyDescent="0.55000000000000004">
      <c r="A2178" t="s">
        <v>765</v>
      </c>
      <c r="B2178" t="str">
        <f>VLOOKUP(B2175,Tabelle3!$A$2:$E$33,4,FALSE)</f>
        <v>""</v>
      </c>
      <c r="D2178" t="str">
        <f t="shared" ref="D2178:D2241" si="1785">IF(ISNUMBER(B2178),(A2178&amp;B2178),"")</f>
        <v/>
      </c>
    </row>
    <row r="2179" spans="1:4" x14ac:dyDescent="0.55000000000000004">
      <c r="A2179" t="s">
        <v>6</v>
      </c>
      <c r="D2179" t="str">
        <f t="shared" ref="D2179:D2242" si="1786">A2179</f>
        <v xml:space="preserve">  },</v>
      </c>
    </row>
    <row r="2180" spans="1:4" x14ac:dyDescent="0.55000000000000004">
      <c r="A2180" t="s">
        <v>371</v>
      </c>
      <c r="D2180" t="str">
        <f t="shared" si="1786"/>
        <v xml:space="preserve">  "30-38": {</v>
      </c>
    </row>
    <row r="2181" spans="1:4" x14ac:dyDescent="0.55000000000000004">
      <c r="A2181" t="s">
        <v>5</v>
      </c>
      <c r="B2181">
        <f t="shared" ref="B2181" si="1787">_xlfn.NUMBERVALUE(RIGHT(A2181,2))</f>
        <v>5</v>
      </c>
      <c r="D2181" t="str">
        <f t="shared" ref="D2181:D2244" si="1788">A2181&amp;","</f>
        <v xml:space="preserve">    "resultPage": 5,</v>
      </c>
    </row>
    <row r="2182" spans="1:4" x14ac:dyDescent="0.55000000000000004">
      <c r="A2182" t="s">
        <v>763</v>
      </c>
      <c r="B2182" t="str">
        <f>VLOOKUP(B2181,Tabelle3!$A$2:$E$33,3,FALSE)</f>
        <v>Swinging Low</v>
      </c>
      <c r="C2182" t="s">
        <v>762</v>
      </c>
      <c r="D2182" t="str">
        <f t="shared" ref="D2182" si="1789">_xlfn.CONCAT(A2182:C2182)</f>
        <v xml:space="preserve">    "message":  "Swinging Low",</v>
      </c>
    </row>
    <row r="2183" spans="1:4" x14ac:dyDescent="0.55000000000000004">
      <c r="A2183" t="s">
        <v>764</v>
      </c>
      <c r="B2183" t="str">
        <f>VLOOKUP(B2181,Tabelle3!$A$2:$E$33,5,FALSE)</f>
        <v>No Blue</v>
      </c>
      <c r="C2183" t="s">
        <v>762</v>
      </c>
      <c r="D2183" t="str">
        <f t="shared" si="1749"/>
        <v xml:space="preserve">    "nextInstruction":  "No Blue",</v>
      </c>
    </row>
    <row r="2184" spans="1:4" x14ac:dyDescent="0.55000000000000004">
      <c r="A2184" t="s">
        <v>765</v>
      </c>
      <c r="B2184" t="str">
        <f>VLOOKUP(B2181,Tabelle3!$A$2:$E$33,4,FALSE)</f>
        <v>""</v>
      </c>
      <c r="D2184" t="str">
        <f t="shared" ref="D2184:D2247" si="1790">IF(ISNUMBER(B2184),(A2184&amp;B2184),"")</f>
        <v/>
      </c>
    </row>
    <row r="2185" spans="1:4" x14ac:dyDescent="0.55000000000000004">
      <c r="A2185" t="s">
        <v>6</v>
      </c>
      <c r="D2185" t="str">
        <f t="shared" ref="D2185:D2248" si="1791">A2185</f>
        <v xml:space="preserve">  },</v>
      </c>
    </row>
    <row r="2186" spans="1:4" x14ac:dyDescent="0.55000000000000004">
      <c r="A2186" t="s">
        <v>372</v>
      </c>
      <c r="D2186" t="str">
        <f t="shared" si="1791"/>
        <v xml:space="preserve">  "30-40": {</v>
      </c>
    </row>
    <row r="2187" spans="1:4" x14ac:dyDescent="0.55000000000000004">
      <c r="A2187" t="s">
        <v>5</v>
      </c>
      <c r="B2187">
        <f t="shared" ref="B2187" si="1792">_xlfn.NUMBERVALUE(RIGHT(A2187,2))</f>
        <v>5</v>
      </c>
      <c r="D2187" t="str">
        <f t="shared" ref="D2187:D2250" si="1793">A2187&amp;","</f>
        <v xml:space="preserve">    "resultPage": 5,</v>
      </c>
    </row>
    <row r="2188" spans="1:4" x14ac:dyDescent="0.55000000000000004">
      <c r="A2188" t="s">
        <v>763</v>
      </c>
      <c r="B2188" t="str">
        <f>VLOOKUP(B2187,Tabelle3!$A$2:$E$33,3,FALSE)</f>
        <v>Swinging Low</v>
      </c>
      <c r="C2188" t="s">
        <v>762</v>
      </c>
      <c r="D2188" t="str">
        <f t="shared" ref="D2188" si="1794">_xlfn.CONCAT(A2188:C2188)</f>
        <v xml:space="preserve">    "message":  "Swinging Low",</v>
      </c>
    </row>
    <row r="2189" spans="1:4" x14ac:dyDescent="0.55000000000000004">
      <c r="A2189" t="s">
        <v>764</v>
      </c>
      <c r="B2189" t="str">
        <f>VLOOKUP(B2187,Tabelle3!$A$2:$E$33,5,FALSE)</f>
        <v>No Blue</v>
      </c>
      <c r="C2189" t="s">
        <v>762</v>
      </c>
      <c r="D2189" t="str">
        <f t="shared" si="1749"/>
        <v xml:space="preserve">    "nextInstruction":  "No Blue",</v>
      </c>
    </row>
    <row r="2190" spans="1:4" x14ac:dyDescent="0.55000000000000004">
      <c r="A2190" t="s">
        <v>765</v>
      </c>
      <c r="B2190" t="str">
        <f>VLOOKUP(B2187,Tabelle3!$A$2:$E$33,4,FALSE)</f>
        <v>""</v>
      </c>
      <c r="D2190" t="str">
        <f t="shared" ref="D2190:D2253" si="1795">IF(ISNUMBER(B2190),(A2190&amp;B2190),"")</f>
        <v/>
      </c>
    </row>
    <row r="2191" spans="1:4" x14ac:dyDescent="0.55000000000000004">
      <c r="A2191" t="s">
        <v>6</v>
      </c>
      <c r="D2191" t="str">
        <f t="shared" ref="D2191:D2254" si="1796">A2191</f>
        <v xml:space="preserve">  },</v>
      </c>
    </row>
    <row r="2192" spans="1:4" x14ac:dyDescent="0.55000000000000004">
      <c r="A2192" t="s">
        <v>373</v>
      </c>
      <c r="D2192" t="str">
        <f t="shared" si="1796"/>
        <v xml:space="preserve">  "30-42": {</v>
      </c>
    </row>
    <row r="2193" spans="1:4" x14ac:dyDescent="0.55000000000000004">
      <c r="A2193" t="s">
        <v>5</v>
      </c>
      <c r="B2193">
        <f t="shared" ref="B2193" si="1797">_xlfn.NUMBERVALUE(RIGHT(A2193,2))</f>
        <v>5</v>
      </c>
      <c r="D2193" t="str">
        <f t="shared" ref="D2193:D2256" si="1798">A2193&amp;","</f>
        <v xml:space="preserve">    "resultPage": 5,</v>
      </c>
    </row>
    <row r="2194" spans="1:4" x14ac:dyDescent="0.55000000000000004">
      <c r="A2194" t="s">
        <v>763</v>
      </c>
      <c r="B2194" t="str">
        <f>VLOOKUP(B2193,Tabelle3!$A$2:$E$33,3,FALSE)</f>
        <v>Swinging Low</v>
      </c>
      <c r="C2194" t="s">
        <v>762</v>
      </c>
      <c r="D2194" t="str">
        <f t="shared" ref="D2194" si="1799">_xlfn.CONCAT(A2194:C2194)</f>
        <v xml:space="preserve">    "message":  "Swinging Low",</v>
      </c>
    </row>
    <row r="2195" spans="1:4" x14ac:dyDescent="0.55000000000000004">
      <c r="A2195" t="s">
        <v>764</v>
      </c>
      <c r="B2195" t="str">
        <f>VLOOKUP(B2193,Tabelle3!$A$2:$E$33,5,FALSE)</f>
        <v>No Blue</v>
      </c>
      <c r="C2195" t="s">
        <v>762</v>
      </c>
      <c r="D2195" t="str">
        <f t="shared" si="1749"/>
        <v xml:space="preserve">    "nextInstruction":  "No Blue",</v>
      </c>
    </row>
    <row r="2196" spans="1:4" x14ac:dyDescent="0.55000000000000004">
      <c r="A2196" t="s">
        <v>765</v>
      </c>
      <c r="B2196" t="str">
        <f>VLOOKUP(B2193,Tabelle3!$A$2:$E$33,4,FALSE)</f>
        <v>""</v>
      </c>
      <c r="D2196" t="str">
        <f t="shared" ref="D2196:D2259" si="1800">IF(ISNUMBER(B2196),(A2196&amp;B2196),"")</f>
        <v/>
      </c>
    </row>
    <row r="2197" spans="1:4" x14ac:dyDescent="0.55000000000000004">
      <c r="A2197" t="s">
        <v>6</v>
      </c>
      <c r="D2197" t="str">
        <f t="shared" ref="D2197:D2260" si="1801">A2197</f>
        <v xml:space="preserve">  },</v>
      </c>
    </row>
    <row r="2198" spans="1:4" x14ac:dyDescent="0.55000000000000004">
      <c r="A2198" t="s">
        <v>374</v>
      </c>
      <c r="D2198" t="str">
        <f t="shared" si="1801"/>
        <v xml:space="preserve">  "30-44": {</v>
      </c>
    </row>
    <row r="2199" spans="1:4" x14ac:dyDescent="0.55000000000000004">
      <c r="A2199" t="s">
        <v>58</v>
      </c>
      <c r="B2199">
        <f t="shared" ref="B2199" si="1802">_xlfn.NUMBERVALUE(RIGHT(A2199,2))</f>
        <v>19</v>
      </c>
      <c r="D2199" t="str">
        <f t="shared" ref="D2199:D2262" si="1803">A2199&amp;","</f>
        <v xml:space="preserve">    "resultPage": 19,</v>
      </c>
    </row>
    <row r="2200" spans="1:4" x14ac:dyDescent="0.55000000000000004">
      <c r="A2200" t="s">
        <v>763</v>
      </c>
      <c r="B2200" t="str">
        <f>VLOOKUP(B2199,Tabelle3!$A$2:$E$33,3,FALSE)</f>
        <v>Struck off Balance</v>
      </c>
      <c r="C2200" t="s">
        <v>762</v>
      </c>
      <c r="D2200" t="str">
        <f t="shared" ref="D2200:D2261" si="1804">_xlfn.CONCAT(A2200:C2200)</f>
        <v xml:space="preserve">    "message":  "Struck off Balance",</v>
      </c>
    </row>
    <row r="2201" spans="1:4" x14ac:dyDescent="0.55000000000000004">
      <c r="A2201" t="s">
        <v>764</v>
      </c>
      <c r="B2201" t="str">
        <f>VLOOKUP(B2199,Tabelle3!$A$2:$E$33,5,FALSE)</f>
        <v>Only Green Only Yellow</v>
      </c>
      <c r="C2201" t="s">
        <v>762</v>
      </c>
      <c r="D2201" t="str">
        <f t="shared" si="1804"/>
        <v xml:space="preserve">    "nextInstruction":  "Only Green Only Yellow",</v>
      </c>
    </row>
    <row r="2202" spans="1:4" x14ac:dyDescent="0.55000000000000004">
      <c r="A2202" t="s">
        <v>765</v>
      </c>
      <c r="B2202">
        <f>VLOOKUP(B2199,Tabelle3!$A$2:$E$33,4,FALSE)</f>
        <v>0</v>
      </c>
      <c r="D2202" t="str">
        <f t="shared" ref="D2202:D2265" si="1805">IF(ISNUMBER(B2202),(A2202&amp;B2202),"")</f>
        <v xml:space="preserve">    "damageModifier": 0</v>
      </c>
    </row>
    <row r="2203" spans="1:4" x14ac:dyDescent="0.55000000000000004">
      <c r="A2203" t="s">
        <v>6</v>
      </c>
      <c r="D2203" t="str">
        <f t="shared" ref="D2203:D2266" si="1806">A2203</f>
        <v xml:space="preserve">  },</v>
      </c>
    </row>
    <row r="2204" spans="1:4" x14ac:dyDescent="0.55000000000000004">
      <c r="A2204" t="s">
        <v>375</v>
      </c>
      <c r="D2204" t="str">
        <f t="shared" si="1806"/>
        <v xml:space="preserve">  "30-46": {</v>
      </c>
    </row>
    <row r="2205" spans="1:4" x14ac:dyDescent="0.55000000000000004">
      <c r="A2205" t="s">
        <v>285</v>
      </c>
      <c r="B2205">
        <f t="shared" ref="B2205" si="1807">_xlfn.NUMBERVALUE(RIGHT(A2205,2))</f>
        <v>15</v>
      </c>
      <c r="D2205" t="str">
        <f t="shared" ref="D2205:D2268" si="1808">A2205&amp;","</f>
        <v xml:space="preserve">    "resultPage": 15,</v>
      </c>
    </row>
    <row r="2206" spans="1:4" x14ac:dyDescent="0.55000000000000004">
      <c r="A2206" t="s">
        <v>763</v>
      </c>
      <c r="B2206" t="str">
        <f>VLOOKUP(B2205,Tabelle3!$A$2:$E$33,3,FALSE)</f>
        <v>Swinging Down</v>
      </c>
      <c r="C2206" t="s">
        <v>762</v>
      </c>
      <c r="D2206" t="str">
        <f t="shared" ref="D2206" si="1809">_xlfn.CONCAT(A2206:C2206)</f>
        <v xml:space="preserve">    "message":  "Swinging Down",</v>
      </c>
    </row>
    <row r="2207" spans="1:4" x14ac:dyDescent="0.55000000000000004">
      <c r="A2207" t="s">
        <v>764</v>
      </c>
      <c r="B2207" t="str">
        <f>VLOOKUP(B2205,Tabelle3!$A$2:$E$33,5,FALSE)</f>
        <v/>
      </c>
      <c r="C2207" t="s">
        <v>762</v>
      </c>
      <c r="D2207" t="str">
        <f t="shared" si="1804"/>
        <v xml:space="preserve">    "nextInstruction":  "",</v>
      </c>
    </row>
    <row r="2208" spans="1:4" x14ac:dyDescent="0.55000000000000004">
      <c r="A2208" t="s">
        <v>765</v>
      </c>
      <c r="B2208" t="str">
        <f>VLOOKUP(B2205,Tabelle3!$A$2:$E$33,4,FALSE)</f>
        <v>""</v>
      </c>
      <c r="D2208" t="str">
        <f t="shared" ref="D2208:D2271" si="1810">IF(ISNUMBER(B2208),(A2208&amp;B2208),"")</f>
        <v/>
      </c>
    </row>
    <row r="2209" spans="1:4" x14ac:dyDescent="0.55000000000000004">
      <c r="A2209" t="s">
        <v>6</v>
      </c>
      <c r="D2209" t="str">
        <f t="shared" ref="D2209:D2272" si="1811">A2209</f>
        <v xml:space="preserve">  },</v>
      </c>
    </row>
    <row r="2210" spans="1:4" x14ac:dyDescent="0.55000000000000004">
      <c r="A2210" t="s">
        <v>376</v>
      </c>
      <c r="D2210" t="str">
        <f t="shared" si="1811"/>
        <v xml:space="preserve">  "30-48": {</v>
      </c>
    </row>
    <row r="2211" spans="1:4" x14ac:dyDescent="0.55000000000000004">
      <c r="A2211" t="s">
        <v>58</v>
      </c>
      <c r="B2211">
        <f t="shared" ref="B2211" si="1812">_xlfn.NUMBERVALUE(RIGHT(A2211,2))</f>
        <v>19</v>
      </c>
      <c r="D2211" t="str">
        <f t="shared" ref="D2211:D2274" si="1813">A2211&amp;","</f>
        <v xml:space="preserve">    "resultPage": 19,</v>
      </c>
    </row>
    <row r="2212" spans="1:4" x14ac:dyDescent="0.55000000000000004">
      <c r="A2212" t="s">
        <v>763</v>
      </c>
      <c r="B2212" t="str">
        <f>VLOOKUP(B2211,Tabelle3!$A$2:$E$33,3,FALSE)</f>
        <v>Struck off Balance</v>
      </c>
      <c r="C2212" t="s">
        <v>762</v>
      </c>
      <c r="D2212" t="str">
        <f t="shared" ref="D2212" si="1814">_xlfn.CONCAT(A2212:C2212)</f>
        <v xml:space="preserve">    "message":  "Struck off Balance",</v>
      </c>
    </row>
    <row r="2213" spans="1:4" x14ac:dyDescent="0.55000000000000004">
      <c r="A2213" t="s">
        <v>764</v>
      </c>
      <c r="B2213" t="str">
        <f>VLOOKUP(B2211,Tabelle3!$A$2:$E$33,5,FALSE)</f>
        <v>Only Green Only Yellow</v>
      </c>
      <c r="C2213" t="s">
        <v>762</v>
      </c>
      <c r="D2213" t="str">
        <f t="shared" si="1804"/>
        <v xml:space="preserve">    "nextInstruction":  "Only Green Only Yellow",</v>
      </c>
    </row>
    <row r="2214" spans="1:4" x14ac:dyDescent="0.55000000000000004">
      <c r="A2214" t="s">
        <v>765</v>
      </c>
      <c r="B2214">
        <f>VLOOKUP(B2211,Tabelle3!$A$2:$E$33,4,FALSE)</f>
        <v>0</v>
      </c>
      <c r="D2214" t="str">
        <f t="shared" ref="D2214:D2277" si="1815">IF(ISNUMBER(B2214),(A2214&amp;B2214),"")</f>
        <v xml:space="preserve">    "damageModifier": 0</v>
      </c>
    </row>
    <row r="2215" spans="1:4" x14ac:dyDescent="0.55000000000000004">
      <c r="A2215" t="s">
        <v>6</v>
      </c>
      <c r="D2215" t="str">
        <f t="shared" ref="D2215:D2278" si="1816">A2215</f>
        <v xml:space="preserve">  },</v>
      </c>
    </row>
    <row r="2216" spans="1:4" x14ac:dyDescent="0.55000000000000004">
      <c r="A2216" t="s">
        <v>377</v>
      </c>
      <c r="D2216" t="str">
        <f t="shared" si="1816"/>
        <v xml:space="preserve">  "32-4": {</v>
      </c>
    </row>
    <row r="2217" spans="1:4" x14ac:dyDescent="0.55000000000000004">
      <c r="A2217" t="s">
        <v>65</v>
      </c>
      <c r="B2217">
        <f t="shared" ref="B2217" si="1817">_xlfn.NUMBERVALUE(RIGHT(A2217,2))</f>
        <v>9</v>
      </c>
      <c r="D2217" t="str">
        <f t="shared" ref="D2217:D2280" si="1818">A2217&amp;","</f>
        <v xml:space="preserve">    "resultPage": 9,</v>
      </c>
    </row>
    <row r="2218" spans="1:4" x14ac:dyDescent="0.55000000000000004">
      <c r="A2218" t="s">
        <v>763</v>
      </c>
      <c r="B2218" t="str">
        <f>VLOOKUP(B2217,Tabelle3!$A$2:$E$33,3,FALSE)</f>
        <v>Thrusting High</v>
      </c>
      <c r="C2218" t="s">
        <v>762</v>
      </c>
      <c r="D2218" t="str">
        <f t="shared" ref="D2218" si="1819">_xlfn.CONCAT(A2218:C2218)</f>
        <v xml:space="preserve">    "message":  "Thrusting High",</v>
      </c>
    </row>
    <row r="2219" spans="1:4" x14ac:dyDescent="0.55000000000000004">
      <c r="A2219" t="s">
        <v>764</v>
      </c>
      <c r="B2219" t="str">
        <f>VLOOKUP(B2217,Tabelle3!$A$2:$E$33,5,FALSE)</f>
        <v/>
      </c>
      <c r="C2219" t="s">
        <v>762</v>
      </c>
      <c r="D2219" t="str">
        <f t="shared" si="1804"/>
        <v xml:space="preserve">    "nextInstruction":  "",</v>
      </c>
    </row>
    <row r="2220" spans="1:4" x14ac:dyDescent="0.55000000000000004">
      <c r="A2220" t="s">
        <v>765</v>
      </c>
      <c r="B2220" t="str">
        <f>VLOOKUP(B2217,Tabelle3!$A$2:$E$33,4,FALSE)</f>
        <v>""</v>
      </c>
      <c r="D2220" t="str">
        <f t="shared" ref="D2220:D2283" si="1820">IF(ISNUMBER(B2220),(A2220&amp;B2220),"")</f>
        <v/>
      </c>
    </row>
    <row r="2221" spans="1:4" x14ac:dyDescent="0.55000000000000004">
      <c r="A2221" t="s">
        <v>6</v>
      </c>
      <c r="D2221" t="str">
        <f t="shared" ref="D2221:D2284" si="1821">A2221</f>
        <v xml:space="preserve">  },</v>
      </c>
    </row>
    <row r="2222" spans="1:4" x14ac:dyDescent="0.55000000000000004">
      <c r="A2222" t="s">
        <v>378</v>
      </c>
      <c r="D2222" t="str">
        <f t="shared" si="1821"/>
        <v xml:space="preserve">  "32-6": {</v>
      </c>
    </row>
    <row r="2223" spans="1:4" x14ac:dyDescent="0.55000000000000004">
      <c r="A2223" t="s">
        <v>76</v>
      </c>
      <c r="B2223">
        <f t="shared" ref="B2223" si="1822">_xlfn.NUMBERVALUE(RIGHT(A2223,2))</f>
        <v>45</v>
      </c>
      <c r="D2223" t="str">
        <f t="shared" ref="D2223:D2286" si="1823">A2223&amp;","</f>
        <v xml:space="preserve">    "resultPage": 45,</v>
      </c>
    </row>
    <row r="2224" spans="1:4" x14ac:dyDescent="0.55000000000000004">
      <c r="A2224" t="s">
        <v>763</v>
      </c>
      <c r="B2224" t="str">
        <f>VLOOKUP(B2223,Tabelle3!$A$2:$E$33,3,FALSE)</f>
        <v>Parrying High</v>
      </c>
      <c r="C2224" t="s">
        <v>762</v>
      </c>
      <c r="D2224" t="str">
        <f t="shared" ref="D2224" si="1824">_xlfn.CONCAT(A2224:C2224)</f>
        <v xml:space="preserve">    "message":  "Parrying High",</v>
      </c>
    </row>
    <row r="2225" spans="1:4" x14ac:dyDescent="0.55000000000000004">
      <c r="A2225" t="s">
        <v>764</v>
      </c>
      <c r="B2225" t="str">
        <f>VLOOKUP(B2223,Tabelle3!$A$2:$E$33,5,FALSE)</f>
        <v/>
      </c>
      <c r="C2225" t="s">
        <v>762</v>
      </c>
      <c r="D2225" t="str">
        <f t="shared" si="1804"/>
        <v xml:space="preserve">    "nextInstruction":  "",</v>
      </c>
    </row>
    <row r="2226" spans="1:4" x14ac:dyDescent="0.55000000000000004">
      <c r="A2226" t="s">
        <v>765</v>
      </c>
      <c r="B2226">
        <f>VLOOKUP(B2223,Tabelle3!$A$2:$E$33,4,FALSE)</f>
        <v>-4</v>
      </c>
      <c r="D2226" t="str">
        <f t="shared" ref="D2226:D2289" si="1825">IF(ISNUMBER(B2226),(A2226&amp;B2226),"")</f>
        <v xml:space="preserve">    "damageModifier": -4</v>
      </c>
    </row>
    <row r="2227" spans="1:4" x14ac:dyDescent="0.55000000000000004">
      <c r="A2227" t="s">
        <v>6</v>
      </c>
      <c r="D2227" t="str">
        <f t="shared" ref="D2227:D2290" si="1826">A2227</f>
        <v xml:space="preserve">  },</v>
      </c>
    </row>
    <row r="2228" spans="1:4" x14ac:dyDescent="0.55000000000000004">
      <c r="A2228" t="s">
        <v>379</v>
      </c>
      <c r="D2228" t="str">
        <f t="shared" si="1826"/>
        <v xml:space="preserve">  "32-8": {</v>
      </c>
    </row>
    <row r="2229" spans="1:4" x14ac:dyDescent="0.55000000000000004">
      <c r="A2229" t="s">
        <v>65</v>
      </c>
      <c r="B2229">
        <f t="shared" ref="B2229" si="1827">_xlfn.NUMBERVALUE(RIGHT(A2229,2))</f>
        <v>9</v>
      </c>
      <c r="D2229" t="str">
        <f t="shared" ref="D2229:D2292" si="1828">A2229&amp;","</f>
        <v xml:space="preserve">    "resultPage": 9,</v>
      </c>
    </row>
    <row r="2230" spans="1:4" x14ac:dyDescent="0.55000000000000004">
      <c r="A2230" t="s">
        <v>763</v>
      </c>
      <c r="B2230" t="str">
        <f>VLOOKUP(B2229,Tabelle3!$A$2:$E$33,3,FALSE)</f>
        <v>Thrusting High</v>
      </c>
      <c r="C2230" t="s">
        <v>762</v>
      </c>
      <c r="D2230" t="str">
        <f t="shared" ref="D2230" si="1829">_xlfn.CONCAT(A2230:C2230)</f>
        <v xml:space="preserve">    "message":  "Thrusting High",</v>
      </c>
    </row>
    <row r="2231" spans="1:4" x14ac:dyDescent="0.55000000000000004">
      <c r="A2231" t="s">
        <v>764</v>
      </c>
      <c r="B2231" t="str">
        <f>VLOOKUP(B2229,Tabelle3!$A$2:$E$33,5,FALSE)</f>
        <v/>
      </c>
      <c r="C2231" t="s">
        <v>762</v>
      </c>
      <c r="D2231" t="str">
        <f t="shared" si="1804"/>
        <v xml:space="preserve">    "nextInstruction":  "",</v>
      </c>
    </row>
    <row r="2232" spans="1:4" x14ac:dyDescent="0.55000000000000004">
      <c r="A2232" t="s">
        <v>765</v>
      </c>
      <c r="B2232" t="str">
        <f>VLOOKUP(B2229,Tabelle3!$A$2:$E$33,4,FALSE)</f>
        <v>""</v>
      </c>
      <c r="D2232" t="str">
        <f t="shared" ref="D2232:D2295" si="1830">IF(ISNUMBER(B2232),(A2232&amp;B2232),"")</f>
        <v/>
      </c>
    </row>
    <row r="2233" spans="1:4" x14ac:dyDescent="0.55000000000000004">
      <c r="A2233" t="s">
        <v>6</v>
      </c>
      <c r="D2233" t="str">
        <f t="shared" ref="D2233:D2296" si="1831">A2233</f>
        <v xml:space="preserve">  },</v>
      </c>
    </row>
    <row r="2234" spans="1:4" x14ac:dyDescent="0.55000000000000004">
      <c r="A2234" t="s">
        <v>380</v>
      </c>
      <c r="D2234" t="str">
        <f t="shared" si="1831"/>
        <v xml:space="preserve">  "32-10": {</v>
      </c>
    </row>
    <row r="2235" spans="1:4" x14ac:dyDescent="0.55000000000000004">
      <c r="A2235" t="s">
        <v>20</v>
      </c>
      <c r="B2235">
        <f t="shared" ref="B2235" si="1832">_xlfn.NUMBERVALUE(RIGHT(A2235,2))</f>
        <v>53</v>
      </c>
      <c r="D2235" t="str">
        <f t="shared" ref="D2235:D2298" si="1833">A2235&amp;","</f>
        <v xml:space="preserve">    "resultPage": 53,</v>
      </c>
    </row>
    <row r="2236" spans="1:4" x14ac:dyDescent="0.55000000000000004">
      <c r="A2236" t="s">
        <v>763</v>
      </c>
      <c r="B2236" t="str">
        <f>VLOOKUP(B2235,Tabelle3!$A$2:$E$33,3,FALSE)</f>
        <v>Body Wound</v>
      </c>
      <c r="C2236" t="s">
        <v>762</v>
      </c>
      <c r="D2236" t="str">
        <f t="shared" ref="D2236" si="1834">_xlfn.CONCAT(A2236:C2236)</f>
        <v xml:space="preserve">    "message":  "Body Wound",</v>
      </c>
    </row>
    <row r="2237" spans="1:4" x14ac:dyDescent="0.55000000000000004">
      <c r="A2237" t="s">
        <v>764</v>
      </c>
      <c r="B2237" t="str">
        <f>VLOOKUP(B2235,Tabelle3!$A$2:$E$33,5,FALSE)</f>
        <v>No Red No Orange</v>
      </c>
      <c r="C2237" t="s">
        <v>762</v>
      </c>
      <c r="D2237" t="str">
        <f t="shared" si="1804"/>
        <v xml:space="preserve">    "nextInstruction":  "No Red No Orange",</v>
      </c>
    </row>
    <row r="2238" spans="1:4" x14ac:dyDescent="0.55000000000000004">
      <c r="A2238" t="s">
        <v>765</v>
      </c>
      <c r="B2238">
        <f>VLOOKUP(B2235,Tabelle3!$A$2:$E$33,4,FALSE)</f>
        <v>5</v>
      </c>
      <c r="D2238" t="str">
        <f t="shared" ref="D2238:D2301" si="1835">IF(ISNUMBER(B2238),(A2238&amp;B2238),"")</f>
        <v xml:space="preserve">    "damageModifier": 5</v>
      </c>
    </row>
    <row r="2239" spans="1:4" x14ac:dyDescent="0.55000000000000004">
      <c r="A2239" t="s">
        <v>6</v>
      </c>
      <c r="D2239" t="str">
        <f t="shared" ref="D2239:D2302" si="1836">A2239</f>
        <v xml:space="preserve">  },</v>
      </c>
    </row>
    <row r="2240" spans="1:4" x14ac:dyDescent="0.55000000000000004">
      <c r="A2240" t="s">
        <v>381</v>
      </c>
      <c r="D2240" t="str">
        <f t="shared" si="1836"/>
        <v xml:space="preserve">  "32-12": {</v>
      </c>
    </row>
    <row r="2241" spans="1:4" x14ac:dyDescent="0.55000000000000004">
      <c r="A2241" t="s">
        <v>76</v>
      </c>
      <c r="B2241">
        <f t="shared" ref="B2241" si="1837">_xlfn.NUMBERVALUE(RIGHT(A2241,2))</f>
        <v>45</v>
      </c>
      <c r="D2241" t="str">
        <f t="shared" ref="D2241:D2304" si="1838">A2241&amp;","</f>
        <v xml:space="preserve">    "resultPage": 45,</v>
      </c>
    </row>
    <row r="2242" spans="1:4" x14ac:dyDescent="0.55000000000000004">
      <c r="A2242" t="s">
        <v>763</v>
      </c>
      <c r="B2242" t="str">
        <f>VLOOKUP(B2241,Tabelle3!$A$2:$E$33,3,FALSE)</f>
        <v>Parrying High</v>
      </c>
      <c r="C2242" t="s">
        <v>762</v>
      </c>
      <c r="D2242" t="str">
        <f t="shared" ref="D2242" si="1839">_xlfn.CONCAT(A2242:C2242)</f>
        <v xml:space="preserve">    "message":  "Parrying High",</v>
      </c>
    </row>
    <row r="2243" spans="1:4" x14ac:dyDescent="0.55000000000000004">
      <c r="A2243" t="s">
        <v>764</v>
      </c>
      <c r="B2243" t="str">
        <f>VLOOKUP(B2241,Tabelle3!$A$2:$E$33,5,FALSE)</f>
        <v/>
      </c>
      <c r="C2243" t="s">
        <v>762</v>
      </c>
      <c r="D2243" t="str">
        <f t="shared" si="1804"/>
        <v xml:space="preserve">    "nextInstruction":  "",</v>
      </c>
    </row>
    <row r="2244" spans="1:4" x14ac:dyDescent="0.55000000000000004">
      <c r="A2244" t="s">
        <v>765</v>
      </c>
      <c r="B2244">
        <f>VLOOKUP(B2241,Tabelle3!$A$2:$E$33,4,FALSE)</f>
        <v>-4</v>
      </c>
      <c r="D2244" t="str">
        <f t="shared" ref="D2244:D2307" si="1840">IF(ISNUMBER(B2244),(A2244&amp;B2244),"")</f>
        <v xml:space="preserve">    "damageModifier": -4</v>
      </c>
    </row>
    <row r="2245" spans="1:4" x14ac:dyDescent="0.55000000000000004">
      <c r="A2245" t="s">
        <v>6</v>
      </c>
      <c r="D2245" t="str">
        <f t="shared" ref="D2245:D2308" si="1841">A2245</f>
        <v xml:space="preserve">  },</v>
      </c>
    </row>
    <row r="2246" spans="1:4" x14ac:dyDescent="0.55000000000000004">
      <c r="A2246" t="s">
        <v>382</v>
      </c>
      <c r="D2246" t="str">
        <f t="shared" si="1841"/>
        <v xml:space="preserve">  "32-14": {</v>
      </c>
    </row>
    <row r="2247" spans="1:4" x14ac:dyDescent="0.55000000000000004">
      <c r="A2247" t="s">
        <v>65</v>
      </c>
      <c r="B2247">
        <f t="shared" ref="B2247" si="1842">_xlfn.NUMBERVALUE(RIGHT(A2247,2))</f>
        <v>9</v>
      </c>
      <c r="D2247" t="str">
        <f t="shared" ref="D2247:D2310" si="1843">A2247&amp;","</f>
        <v xml:space="preserve">    "resultPage": 9,</v>
      </c>
    </row>
    <row r="2248" spans="1:4" x14ac:dyDescent="0.55000000000000004">
      <c r="A2248" t="s">
        <v>763</v>
      </c>
      <c r="B2248" t="str">
        <f>VLOOKUP(B2247,Tabelle3!$A$2:$E$33,3,FALSE)</f>
        <v>Thrusting High</v>
      </c>
      <c r="C2248" t="s">
        <v>762</v>
      </c>
      <c r="D2248" t="str">
        <f t="shared" ref="D2248" si="1844">_xlfn.CONCAT(A2248:C2248)</f>
        <v xml:space="preserve">    "message":  "Thrusting High",</v>
      </c>
    </row>
    <row r="2249" spans="1:4" x14ac:dyDescent="0.55000000000000004">
      <c r="A2249" t="s">
        <v>764</v>
      </c>
      <c r="B2249" t="str">
        <f>VLOOKUP(B2247,Tabelle3!$A$2:$E$33,5,FALSE)</f>
        <v/>
      </c>
      <c r="C2249" t="s">
        <v>762</v>
      </c>
      <c r="D2249" t="str">
        <f t="shared" si="1804"/>
        <v xml:space="preserve">    "nextInstruction":  "",</v>
      </c>
    </row>
    <row r="2250" spans="1:4" x14ac:dyDescent="0.55000000000000004">
      <c r="A2250" t="s">
        <v>765</v>
      </c>
      <c r="B2250" t="str">
        <f>VLOOKUP(B2247,Tabelle3!$A$2:$E$33,4,FALSE)</f>
        <v>""</v>
      </c>
      <c r="D2250" t="str">
        <f t="shared" ref="D2250:D2313" si="1845">IF(ISNUMBER(B2250),(A2250&amp;B2250),"")</f>
        <v/>
      </c>
    </row>
    <row r="2251" spans="1:4" x14ac:dyDescent="0.55000000000000004">
      <c r="A2251" t="s">
        <v>6</v>
      </c>
      <c r="D2251" t="str">
        <f t="shared" ref="D2251:D2314" si="1846">A2251</f>
        <v xml:space="preserve">  },</v>
      </c>
    </row>
    <row r="2252" spans="1:4" x14ac:dyDescent="0.55000000000000004">
      <c r="A2252" t="s">
        <v>383</v>
      </c>
      <c r="D2252" t="str">
        <f t="shared" si="1846"/>
        <v xml:space="preserve">  "32-16": {</v>
      </c>
    </row>
    <row r="2253" spans="1:4" x14ac:dyDescent="0.55000000000000004">
      <c r="A2253" t="s">
        <v>65</v>
      </c>
      <c r="B2253">
        <f t="shared" ref="B2253" si="1847">_xlfn.NUMBERVALUE(RIGHT(A2253,2))</f>
        <v>9</v>
      </c>
      <c r="D2253" t="str">
        <f t="shared" ref="D2253:D2316" si="1848">A2253&amp;","</f>
        <v xml:space="preserve">    "resultPage": 9,</v>
      </c>
    </row>
    <row r="2254" spans="1:4" x14ac:dyDescent="0.55000000000000004">
      <c r="A2254" t="s">
        <v>763</v>
      </c>
      <c r="B2254" t="str">
        <f>VLOOKUP(B2253,Tabelle3!$A$2:$E$33,3,FALSE)</f>
        <v>Thrusting High</v>
      </c>
      <c r="C2254" t="s">
        <v>762</v>
      </c>
      <c r="D2254" t="str">
        <f t="shared" ref="D2254" si="1849">_xlfn.CONCAT(A2254:C2254)</f>
        <v xml:space="preserve">    "message":  "Thrusting High",</v>
      </c>
    </row>
    <row r="2255" spans="1:4" x14ac:dyDescent="0.55000000000000004">
      <c r="A2255" t="s">
        <v>764</v>
      </c>
      <c r="B2255" t="str">
        <f>VLOOKUP(B2253,Tabelle3!$A$2:$E$33,5,FALSE)</f>
        <v/>
      </c>
      <c r="C2255" t="s">
        <v>762</v>
      </c>
      <c r="D2255" t="str">
        <f t="shared" si="1804"/>
        <v xml:space="preserve">    "nextInstruction":  "",</v>
      </c>
    </row>
    <row r="2256" spans="1:4" x14ac:dyDescent="0.55000000000000004">
      <c r="A2256" t="s">
        <v>765</v>
      </c>
      <c r="B2256" t="str">
        <f>VLOOKUP(B2253,Tabelle3!$A$2:$E$33,4,FALSE)</f>
        <v>""</v>
      </c>
      <c r="D2256" t="str">
        <f t="shared" ref="D2256:D2319" si="1850">IF(ISNUMBER(B2256),(A2256&amp;B2256),"")</f>
        <v/>
      </c>
    </row>
    <row r="2257" spans="1:4" x14ac:dyDescent="0.55000000000000004">
      <c r="A2257" t="s">
        <v>6</v>
      </c>
      <c r="D2257" t="str">
        <f t="shared" ref="D2257:D2320" si="1851">A2257</f>
        <v xml:space="preserve">  },</v>
      </c>
    </row>
    <row r="2258" spans="1:4" x14ac:dyDescent="0.55000000000000004">
      <c r="A2258" t="s">
        <v>384</v>
      </c>
      <c r="D2258" t="str">
        <f t="shared" si="1851"/>
        <v xml:space="preserve">  "32-18": {</v>
      </c>
    </row>
    <row r="2259" spans="1:4" x14ac:dyDescent="0.55000000000000004">
      <c r="A2259" t="s">
        <v>65</v>
      </c>
      <c r="B2259">
        <f t="shared" ref="B2259" si="1852">_xlfn.NUMBERVALUE(RIGHT(A2259,2))</f>
        <v>9</v>
      </c>
      <c r="D2259" t="str">
        <f t="shared" ref="D2259:D2322" si="1853">A2259&amp;","</f>
        <v xml:space="preserve">    "resultPage": 9,</v>
      </c>
    </row>
    <row r="2260" spans="1:4" x14ac:dyDescent="0.55000000000000004">
      <c r="A2260" t="s">
        <v>763</v>
      </c>
      <c r="B2260" t="str">
        <f>VLOOKUP(B2259,Tabelle3!$A$2:$E$33,3,FALSE)</f>
        <v>Thrusting High</v>
      </c>
      <c r="C2260" t="s">
        <v>762</v>
      </c>
      <c r="D2260" t="str">
        <f t="shared" ref="D2260" si="1854">_xlfn.CONCAT(A2260:C2260)</f>
        <v xml:space="preserve">    "message":  "Thrusting High",</v>
      </c>
    </row>
    <row r="2261" spans="1:4" x14ac:dyDescent="0.55000000000000004">
      <c r="A2261" t="s">
        <v>764</v>
      </c>
      <c r="B2261" t="str">
        <f>VLOOKUP(B2259,Tabelle3!$A$2:$E$33,5,FALSE)</f>
        <v/>
      </c>
      <c r="C2261" t="s">
        <v>762</v>
      </c>
      <c r="D2261" t="str">
        <f t="shared" si="1804"/>
        <v xml:space="preserve">    "nextInstruction":  "",</v>
      </c>
    </row>
    <row r="2262" spans="1:4" x14ac:dyDescent="0.55000000000000004">
      <c r="A2262" t="s">
        <v>765</v>
      </c>
      <c r="B2262" t="str">
        <f>VLOOKUP(B2259,Tabelle3!$A$2:$E$33,4,FALSE)</f>
        <v>""</v>
      </c>
      <c r="D2262" t="str">
        <f t="shared" ref="D2262:D2325" si="1855">IF(ISNUMBER(B2262),(A2262&amp;B2262),"")</f>
        <v/>
      </c>
    </row>
    <row r="2263" spans="1:4" x14ac:dyDescent="0.55000000000000004">
      <c r="A2263" t="s">
        <v>6</v>
      </c>
      <c r="D2263" t="str">
        <f t="shared" ref="D2263:D2326" si="1856">A2263</f>
        <v xml:space="preserve">  },</v>
      </c>
    </row>
    <row r="2264" spans="1:4" x14ac:dyDescent="0.55000000000000004">
      <c r="A2264" t="s">
        <v>385</v>
      </c>
      <c r="D2264" t="str">
        <f t="shared" si="1856"/>
        <v xml:space="preserve">  "32-20": {</v>
      </c>
    </row>
    <row r="2265" spans="1:4" x14ac:dyDescent="0.55000000000000004">
      <c r="A2265" t="s">
        <v>65</v>
      </c>
      <c r="B2265">
        <f t="shared" ref="B2265" si="1857">_xlfn.NUMBERVALUE(RIGHT(A2265,2))</f>
        <v>9</v>
      </c>
      <c r="D2265" t="str">
        <f t="shared" ref="D2265:D2328" si="1858">A2265&amp;","</f>
        <v xml:space="preserve">    "resultPage": 9,</v>
      </c>
    </row>
    <row r="2266" spans="1:4" x14ac:dyDescent="0.55000000000000004">
      <c r="A2266" t="s">
        <v>763</v>
      </c>
      <c r="B2266" t="str">
        <f>VLOOKUP(B2265,Tabelle3!$A$2:$E$33,3,FALSE)</f>
        <v>Thrusting High</v>
      </c>
      <c r="C2266" t="s">
        <v>762</v>
      </c>
      <c r="D2266" t="str">
        <f t="shared" ref="D2266:D2327" si="1859">_xlfn.CONCAT(A2266:C2266)</f>
        <v xml:space="preserve">    "message":  "Thrusting High",</v>
      </c>
    </row>
    <row r="2267" spans="1:4" x14ac:dyDescent="0.55000000000000004">
      <c r="A2267" t="s">
        <v>764</v>
      </c>
      <c r="B2267" t="str">
        <f>VLOOKUP(B2265,Tabelle3!$A$2:$E$33,5,FALSE)</f>
        <v/>
      </c>
      <c r="C2267" t="s">
        <v>762</v>
      </c>
      <c r="D2267" t="str">
        <f t="shared" si="1859"/>
        <v xml:space="preserve">    "nextInstruction":  "",</v>
      </c>
    </row>
    <row r="2268" spans="1:4" x14ac:dyDescent="0.55000000000000004">
      <c r="A2268" t="s">
        <v>765</v>
      </c>
      <c r="B2268" t="str">
        <f>VLOOKUP(B2265,Tabelle3!$A$2:$E$33,4,FALSE)</f>
        <v>""</v>
      </c>
      <c r="D2268" t="str">
        <f t="shared" ref="D2268:D2331" si="1860">IF(ISNUMBER(B2268),(A2268&amp;B2268),"")</f>
        <v/>
      </c>
    </row>
    <row r="2269" spans="1:4" x14ac:dyDescent="0.55000000000000004">
      <c r="A2269" t="s">
        <v>6</v>
      </c>
      <c r="D2269" t="str">
        <f t="shared" ref="D2269:D2332" si="1861">A2269</f>
        <v xml:space="preserve">  },</v>
      </c>
    </row>
    <row r="2270" spans="1:4" x14ac:dyDescent="0.55000000000000004">
      <c r="A2270" t="s">
        <v>386</v>
      </c>
      <c r="D2270" t="str">
        <f t="shared" si="1861"/>
        <v xml:space="preserve">  "32-22": {</v>
      </c>
    </row>
    <row r="2271" spans="1:4" x14ac:dyDescent="0.55000000000000004">
      <c r="A2271" t="s">
        <v>65</v>
      </c>
      <c r="B2271">
        <f t="shared" ref="B2271" si="1862">_xlfn.NUMBERVALUE(RIGHT(A2271,2))</f>
        <v>9</v>
      </c>
      <c r="D2271" t="str">
        <f t="shared" ref="D2271:D2334" si="1863">A2271&amp;","</f>
        <v xml:space="preserve">    "resultPage": 9,</v>
      </c>
    </row>
    <row r="2272" spans="1:4" x14ac:dyDescent="0.55000000000000004">
      <c r="A2272" t="s">
        <v>763</v>
      </c>
      <c r="B2272" t="str">
        <f>VLOOKUP(B2271,Tabelle3!$A$2:$E$33,3,FALSE)</f>
        <v>Thrusting High</v>
      </c>
      <c r="C2272" t="s">
        <v>762</v>
      </c>
      <c r="D2272" t="str">
        <f t="shared" ref="D2272" si="1864">_xlfn.CONCAT(A2272:C2272)</f>
        <v xml:space="preserve">    "message":  "Thrusting High",</v>
      </c>
    </row>
    <row r="2273" spans="1:4" x14ac:dyDescent="0.55000000000000004">
      <c r="A2273" t="s">
        <v>764</v>
      </c>
      <c r="B2273" t="str">
        <f>VLOOKUP(B2271,Tabelle3!$A$2:$E$33,5,FALSE)</f>
        <v/>
      </c>
      <c r="C2273" t="s">
        <v>762</v>
      </c>
      <c r="D2273" t="str">
        <f t="shared" si="1859"/>
        <v xml:space="preserve">    "nextInstruction":  "",</v>
      </c>
    </row>
    <row r="2274" spans="1:4" x14ac:dyDescent="0.55000000000000004">
      <c r="A2274" t="s">
        <v>765</v>
      </c>
      <c r="B2274" t="str">
        <f>VLOOKUP(B2271,Tabelle3!$A$2:$E$33,4,FALSE)</f>
        <v>""</v>
      </c>
      <c r="D2274" t="str">
        <f t="shared" ref="D2274:D2337" si="1865">IF(ISNUMBER(B2274),(A2274&amp;B2274),"")</f>
        <v/>
      </c>
    </row>
    <row r="2275" spans="1:4" x14ac:dyDescent="0.55000000000000004">
      <c r="A2275" t="s">
        <v>6</v>
      </c>
      <c r="D2275" t="str">
        <f t="shared" ref="D2275:D2338" si="1866">A2275</f>
        <v xml:space="preserve">  },</v>
      </c>
    </row>
    <row r="2276" spans="1:4" x14ac:dyDescent="0.55000000000000004">
      <c r="A2276" t="s">
        <v>387</v>
      </c>
      <c r="D2276" t="str">
        <f t="shared" si="1866"/>
        <v xml:space="preserve">  "32-24": {</v>
      </c>
    </row>
    <row r="2277" spans="1:4" x14ac:dyDescent="0.55000000000000004">
      <c r="A2277" t="s">
        <v>76</v>
      </c>
      <c r="B2277">
        <f t="shared" ref="B2277" si="1867">_xlfn.NUMBERVALUE(RIGHT(A2277,2))</f>
        <v>45</v>
      </c>
      <c r="D2277" t="str">
        <f t="shared" ref="D2277:D2340" si="1868">A2277&amp;","</f>
        <v xml:space="preserve">    "resultPage": 45,</v>
      </c>
    </row>
    <row r="2278" spans="1:4" x14ac:dyDescent="0.55000000000000004">
      <c r="A2278" t="s">
        <v>763</v>
      </c>
      <c r="B2278" t="str">
        <f>VLOOKUP(B2277,Tabelle3!$A$2:$E$33,3,FALSE)</f>
        <v>Parrying High</v>
      </c>
      <c r="C2278" t="s">
        <v>762</v>
      </c>
      <c r="D2278" t="str">
        <f t="shared" ref="D2278" si="1869">_xlfn.CONCAT(A2278:C2278)</f>
        <v xml:space="preserve">    "message":  "Parrying High",</v>
      </c>
    </row>
    <row r="2279" spans="1:4" x14ac:dyDescent="0.55000000000000004">
      <c r="A2279" t="s">
        <v>764</v>
      </c>
      <c r="B2279" t="str">
        <f>VLOOKUP(B2277,Tabelle3!$A$2:$E$33,5,FALSE)</f>
        <v/>
      </c>
      <c r="C2279" t="s">
        <v>762</v>
      </c>
      <c r="D2279" t="str">
        <f t="shared" si="1859"/>
        <v xml:space="preserve">    "nextInstruction":  "",</v>
      </c>
    </row>
    <row r="2280" spans="1:4" x14ac:dyDescent="0.55000000000000004">
      <c r="A2280" t="s">
        <v>765</v>
      </c>
      <c r="B2280">
        <f>VLOOKUP(B2277,Tabelle3!$A$2:$E$33,4,FALSE)</f>
        <v>-4</v>
      </c>
      <c r="D2280" t="str">
        <f t="shared" ref="D2280:D2343" si="1870">IF(ISNUMBER(B2280),(A2280&amp;B2280),"")</f>
        <v xml:space="preserve">    "damageModifier": -4</v>
      </c>
    </row>
    <row r="2281" spans="1:4" x14ac:dyDescent="0.55000000000000004">
      <c r="A2281" t="s">
        <v>6</v>
      </c>
      <c r="D2281" t="str">
        <f t="shared" ref="D2281:D2344" si="1871">A2281</f>
        <v xml:space="preserve">  },</v>
      </c>
    </row>
    <row r="2282" spans="1:4" x14ac:dyDescent="0.55000000000000004">
      <c r="A2282" t="s">
        <v>388</v>
      </c>
      <c r="D2282" t="str">
        <f t="shared" si="1871"/>
        <v xml:space="preserve">  "32-26": {</v>
      </c>
    </row>
    <row r="2283" spans="1:4" x14ac:dyDescent="0.55000000000000004">
      <c r="A2283" t="s">
        <v>65</v>
      </c>
      <c r="B2283">
        <f t="shared" ref="B2283" si="1872">_xlfn.NUMBERVALUE(RIGHT(A2283,2))</f>
        <v>9</v>
      </c>
      <c r="D2283" t="str">
        <f t="shared" ref="D2283:D2346" si="1873">A2283&amp;","</f>
        <v xml:space="preserve">    "resultPage": 9,</v>
      </c>
    </row>
    <row r="2284" spans="1:4" x14ac:dyDescent="0.55000000000000004">
      <c r="A2284" t="s">
        <v>763</v>
      </c>
      <c r="B2284" t="str">
        <f>VLOOKUP(B2283,Tabelle3!$A$2:$E$33,3,FALSE)</f>
        <v>Thrusting High</v>
      </c>
      <c r="C2284" t="s">
        <v>762</v>
      </c>
      <c r="D2284" t="str">
        <f t="shared" ref="D2284" si="1874">_xlfn.CONCAT(A2284:C2284)</f>
        <v xml:space="preserve">    "message":  "Thrusting High",</v>
      </c>
    </row>
    <row r="2285" spans="1:4" x14ac:dyDescent="0.55000000000000004">
      <c r="A2285" t="s">
        <v>764</v>
      </c>
      <c r="B2285" t="str">
        <f>VLOOKUP(B2283,Tabelle3!$A$2:$E$33,5,FALSE)</f>
        <v/>
      </c>
      <c r="C2285" t="s">
        <v>762</v>
      </c>
      <c r="D2285" t="str">
        <f t="shared" si="1859"/>
        <v xml:space="preserve">    "nextInstruction":  "",</v>
      </c>
    </row>
    <row r="2286" spans="1:4" x14ac:dyDescent="0.55000000000000004">
      <c r="A2286" t="s">
        <v>765</v>
      </c>
      <c r="B2286" t="str">
        <f>VLOOKUP(B2283,Tabelle3!$A$2:$E$33,4,FALSE)</f>
        <v>""</v>
      </c>
      <c r="D2286" t="str">
        <f t="shared" ref="D2286:D2349" si="1875">IF(ISNUMBER(B2286),(A2286&amp;B2286),"")</f>
        <v/>
      </c>
    </row>
    <row r="2287" spans="1:4" x14ac:dyDescent="0.55000000000000004">
      <c r="A2287" t="s">
        <v>6</v>
      </c>
      <c r="D2287" t="str">
        <f t="shared" ref="D2287:D2350" si="1876">A2287</f>
        <v xml:space="preserve">  },</v>
      </c>
    </row>
    <row r="2288" spans="1:4" x14ac:dyDescent="0.55000000000000004">
      <c r="A2288" t="s">
        <v>389</v>
      </c>
      <c r="D2288" t="str">
        <f t="shared" si="1876"/>
        <v xml:space="preserve">  "32-28": {</v>
      </c>
    </row>
    <row r="2289" spans="1:4" x14ac:dyDescent="0.55000000000000004">
      <c r="A2289" t="s">
        <v>65</v>
      </c>
      <c r="B2289">
        <f t="shared" ref="B2289" si="1877">_xlfn.NUMBERVALUE(RIGHT(A2289,2))</f>
        <v>9</v>
      </c>
      <c r="D2289" t="str">
        <f t="shared" ref="D2289:D2352" si="1878">A2289&amp;","</f>
        <v xml:space="preserve">    "resultPage": 9,</v>
      </c>
    </row>
    <row r="2290" spans="1:4" x14ac:dyDescent="0.55000000000000004">
      <c r="A2290" t="s">
        <v>763</v>
      </c>
      <c r="B2290" t="str">
        <f>VLOOKUP(B2289,Tabelle3!$A$2:$E$33,3,FALSE)</f>
        <v>Thrusting High</v>
      </c>
      <c r="C2290" t="s">
        <v>762</v>
      </c>
      <c r="D2290" t="str">
        <f t="shared" ref="D2290" si="1879">_xlfn.CONCAT(A2290:C2290)</f>
        <v xml:space="preserve">    "message":  "Thrusting High",</v>
      </c>
    </row>
    <row r="2291" spans="1:4" x14ac:dyDescent="0.55000000000000004">
      <c r="A2291" t="s">
        <v>764</v>
      </c>
      <c r="B2291" t="str">
        <f>VLOOKUP(B2289,Tabelle3!$A$2:$E$33,5,FALSE)</f>
        <v/>
      </c>
      <c r="C2291" t="s">
        <v>762</v>
      </c>
      <c r="D2291" t="str">
        <f t="shared" si="1859"/>
        <v xml:space="preserve">    "nextInstruction":  "",</v>
      </c>
    </row>
    <row r="2292" spans="1:4" x14ac:dyDescent="0.55000000000000004">
      <c r="A2292" t="s">
        <v>765</v>
      </c>
      <c r="B2292" t="str">
        <f>VLOOKUP(B2289,Tabelle3!$A$2:$E$33,4,FALSE)</f>
        <v>""</v>
      </c>
      <c r="D2292" t="str">
        <f t="shared" ref="D2292:D2355" si="1880">IF(ISNUMBER(B2292),(A2292&amp;B2292),"")</f>
        <v/>
      </c>
    </row>
    <row r="2293" spans="1:4" x14ac:dyDescent="0.55000000000000004">
      <c r="A2293" t="s">
        <v>6</v>
      </c>
      <c r="D2293" t="str">
        <f t="shared" ref="D2293:D2356" si="1881">A2293</f>
        <v xml:space="preserve">  },</v>
      </c>
    </row>
    <row r="2294" spans="1:4" x14ac:dyDescent="0.55000000000000004">
      <c r="A2294" t="s">
        <v>390</v>
      </c>
      <c r="D2294" t="str">
        <f t="shared" si="1881"/>
        <v xml:space="preserve">  "32-30": {</v>
      </c>
    </row>
    <row r="2295" spans="1:4" x14ac:dyDescent="0.55000000000000004">
      <c r="A2295" t="s">
        <v>274</v>
      </c>
      <c r="B2295">
        <f t="shared" ref="B2295" si="1882">_xlfn.NUMBERVALUE(RIGHT(A2295,2))</f>
        <v>27</v>
      </c>
      <c r="D2295" t="str">
        <f t="shared" ref="D2295:D2358" si="1883">A2295&amp;","</f>
        <v xml:space="preserve">    "resultPage": 27,</v>
      </c>
    </row>
    <row r="2296" spans="1:4" x14ac:dyDescent="0.55000000000000004">
      <c r="A2296" t="s">
        <v>763</v>
      </c>
      <c r="B2296" t="str">
        <f>VLOOKUP(B2295,Tabelle3!$A$2:$E$33,3,FALSE)</f>
        <v>Weapon Dislodged</v>
      </c>
      <c r="C2296" t="s">
        <v>762</v>
      </c>
      <c r="D2296" t="str">
        <f t="shared" ref="D2296" si="1884">_xlfn.CONCAT(A2296:C2296)</f>
        <v xml:space="preserve">    "message":  "Weapon Dislodged",</v>
      </c>
    </row>
    <row r="2297" spans="1:4" x14ac:dyDescent="0.55000000000000004">
      <c r="A2297" t="s">
        <v>764</v>
      </c>
      <c r="B2297" t="str">
        <f>VLOOKUP(B2295,Tabelle3!$A$2:$E$33,5,FALSE)</f>
        <v>Only Green Only Yellow Only Kicks Except Wildswings Until Weapon has been retrieved</v>
      </c>
      <c r="C2297" t="s">
        <v>762</v>
      </c>
      <c r="D2297" t="str">
        <f t="shared" si="1859"/>
        <v xml:space="preserve">    "nextInstruction":  "Only Green Only Yellow Only Kicks Except Wildswings Until Weapon has been retrieved",</v>
      </c>
    </row>
    <row r="2298" spans="1:4" x14ac:dyDescent="0.55000000000000004">
      <c r="A2298" t="s">
        <v>765</v>
      </c>
      <c r="B2298" t="str">
        <f>VLOOKUP(B2295,Tabelle3!$A$2:$E$33,4,FALSE)</f>
        <v>""</v>
      </c>
      <c r="D2298" t="str">
        <f t="shared" ref="D2298:D2361" si="1885">IF(ISNUMBER(B2298),(A2298&amp;B2298),"")</f>
        <v/>
      </c>
    </row>
    <row r="2299" spans="1:4" x14ac:dyDescent="0.55000000000000004">
      <c r="A2299" t="s">
        <v>6</v>
      </c>
      <c r="D2299" t="str">
        <f t="shared" ref="D2299:D2362" si="1886">A2299</f>
        <v xml:space="preserve">  },</v>
      </c>
    </row>
    <row r="2300" spans="1:4" x14ac:dyDescent="0.55000000000000004">
      <c r="A2300" t="s">
        <v>391</v>
      </c>
      <c r="D2300" t="str">
        <f t="shared" si="1886"/>
        <v xml:space="preserve">  "32-32": {</v>
      </c>
    </row>
    <row r="2301" spans="1:4" x14ac:dyDescent="0.55000000000000004">
      <c r="A2301" t="s">
        <v>65</v>
      </c>
      <c r="B2301">
        <f t="shared" ref="B2301" si="1887">_xlfn.NUMBERVALUE(RIGHT(A2301,2))</f>
        <v>9</v>
      </c>
      <c r="D2301" t="str">
        <f t="shared" ref="D2301:D2364" si="1888">A2301&amp;","</f>
        <v xml:space="preserve">    "resultPage": 9,</v>
      </c>
    </row>
    <row r="2302" spans="1:4" x14ac:dyDescent="0.55000000000000004">
      <c r="A2302" t="s">
        <v>763</v>
      </c>
      <c r="B2302" t="str">
        <f>VLOOKUP(B2301,Tabelle3!$A$2:$E$33,3,FALSE)</f>
        <v>Thrusting High</v>
      </c>
      <c r="C2302" t="s">
        <v>762</v>
      </c>
      <c r="D2302" t="str">
        <f t="shared" ref="D2302" si="1889">_xlfn.CONCAT(A2302:C2302)</f>
        <v xml:space="preserve">    "message":  "Thrusting High",</v>
      </c>
    </row>
    <row r="2303" spans="1:4" x14ac:dyDescent="0.55000000000000004">
      <c r="A2303" t="s">
        <v>764</v>
      </c>
      <c r="B2303" t="str">
        <f>VLOOKUP(B2301,Tabelle3!$A$2:$E$33,5,FALSE)</f>
        <v/>
      </c>
      <c r="C2303" t="s">
        <v>762</v>
      </c>
      <c r="D2303" t="str">
        <f t="shared" si="1859"/>
        <v xml:space="preserve">    "nextInstruction":  "",</v>
      </c>
    </row>
    <row r="2304" spans="1:4" x14ac:dyDescent="0.55000000000000004">
      <c r="A2304" t="s">
        <v>765</v>
      </c>
      <c r="B2304" t="str">
        <f>VLOOKUP(B2301,Tabelle3!$A$2:$E$33,4,FALSE)</f>
        <v>""</v>
      </c>
      <c r="D2304" t="str">
        <f t="shared" ref="D2304:D2367" si="1890">IF(ISNUMBER(B2304),(A2304&amp;B2304),"")</f>
        <v/>
      </c>
    </row>
    <row r="2305" spans="1:4" x14ac:dyDescent="0.55000000000000004">
      <c r="A2305" t="s">
        <v>6</v>
      </c>
      <c r="D2305" t="str">
        <f t="shared" ref="D2305:D2368" si="1891">A2305</f>
        <v xml:space="preserve">  },</v>
      </c>
    </row>
    <row r="2306" spans="1:4" x14ac:dyDescent="0.55000000000000004">
      <c r="A2306" t="s">
        <v>392</v>
      </c>
      <c r="D2306" t="str">
        <f t="shared" si="1891"/>
        <v xml:space="preserve">  "32-34": {</v>
      </c>
    </row>
    <row r="2307" spans="1:4" x14ac:dyDescent="0.55000000000000004">
      <c r="A2307" t="s">
        <v>133</v>
      </c>
      <c r="B2307">
        <f t="shared" ref="B2307" si="1892">_xlfn.NUMBERVALUE(RIGHT(A2307,2))</f>
        <v>51</v>
      </c>
      <c r="D2307" t="str">
        <f t="shared" ref="D2307:D2370" si="1893">A2307&amp;","</f>
        <v xml:space="preserve">    "resultPage": 51,</v>
      </c>
    </row>
    <row r="2308" spans="1:4" x14ac:dyDescent="0.55000000000000004">
      <c r="A2308" t="s">
        <v>763</v>
      </c>
      <c r="B2308" t="str">
        <f>VLOOKUP(B2307,Tabelle3!$A$2:$E$33,3,FALSE)</f>
        <v>Kicked Off Balance</v>
      </c>
      <c r="C2308" t="s">
        <v>762</v>
      </c>
      <c r="D2308" t="str">
        <f t="shared" ref="D2308" si="1894">_xlfn.CONCAT(A2308:C2308)</f>
        <v xml:space="preserve">    "message":  "Kicked Off Balance",</v>
      </c>
    </row>
    <row r="2309" spans="1:4" x14ac:dyDescent="0.55000000000000004">
      <c r="A2309" t="s">
        <v>764</v>
      </c>
      <c r="B2309" t="str">
        <f>VLOOKUP(B2307,Tabelle3!$A$2:$E$33,5,FALSE)</f>
        <v>Only Green Only Yellow</v>
      </c>
      <c r="C2309" t="s">
        <v>762</v>
      </c>
      <c r="D2309" t="str">
        <f t="shared" si="1859"/>
        <v xml:space="preserve">    "nextInstruction":  "Only Green Only Yellow",</v>
      </c>
    </row>
    <row r="2310" spans="1:4" x14ac:dyDescent="0.55000000000000004">
      <c r="A2310" t="s">
        <v>765</v>
      </c>
      <c r="B2310">
        <f>VLOOKUP(B2307,Tabelle3!$A$2:$E$33,4,FALSE)</f>
        <v>0</v>
      </c>
      <c r="D2310" t="str">
        <f t="shared" ref="D2310:D2373" si="1895">IF(ISNUMBER(B2310),(A2310&amp;B2310),"")</f>
        <v xml:space="preserve">    "damageModifier": 0</v>
      </c>
    </row>
    <row r="2311" spans="1:4" x14ac:dyDescent="0.55000000000000004">
      <c r="A2311" t="s">
        <v>6</v>
      </c>
      <c r="D2311" t="str">
        <f t="shared" ref="D2311:D2374" si="1896">A2311</f>
        <v xml:space="preserve">  },</v>
      </c>
    </row>
    <row r="2312" spans="1:4" x14ac:dyDescent="0.55000000000000004">
      <c r="A2312" t="s">
        <v>393</v>
      </c>
      <c r="D2312" t="str">
        <f t="shared" si="1896"/>
        <v xml:space="preserve">  "32-36": {</v>
      </c>
    </row>
    <row r="2313" spans="1:4" x14ac:dyDescent="0.55000000000000004">
      <c r="A2313" t="s">
        <v>65</v>
      </c>
      <c r="B2313">
        <f t="shared" ref="B2313" si="1897">_xlfn.NUMBERVALUE(RIGHT(A2313,2))</f>
        <v>9</v>
      </c>
      <c r="D2313" t="str">
        <f t="shared" ref="D2313:D2376" si="1898">A2313&amp;","</f>
        <v xml:space="preserve">    "resultPage": 9,</v>
      </c>
    </row>
    <row r="2314" spans="1:4" x14ac:dyDescent="0.55000000000000004">
      <c r="A2314" t="s">
        <v>763</v>
      </c>
      <c r="B2314" t="str">
        <f>VLOOKUP(B2313,Tabelle3!$A$2:$E$33,3,FALSE)</f>
        <v>Thrusting High</v>
      </c>
      <c r="C2314" t="s">
        <v>762</v>
      </c>
      <c r="D2314" t="str">
        <f t="shared" ref="D2314" si="1899">_xlfn.CONCAT(A2314:C2314)</f>
        <v xml:space="preserve">    "message":  "Thrusting High",</v>
      </c>
    </row>
    <row r="2315" spans="1:4" x14ac:dyDescent="0.55000000000000004">
      <c r="A2315" t="s">
        <v>764</v>
      </c>
      <c r="B2315" t="str">
        <f>VLOOKUP(B2313,Tabelle3!$A$2:$E$33,5,FALSE)</f>
        <v/>
      </c>
      <c r="C2315" t="s">
        <v>762</v>
      </c>
      <c r="D2315" t="str">
        <f t="shared" si="1859"/>
        <v xml:space="preserve">    "nextInstruction":  "",</v>
      </c>
    </row>
    <row r="2316" spans="1:4" x14ac:dyDescent="0.55000000000000004">
      <c r="A2316" t="s">
        <v>765</v>
      </c>
      <c r="B2316" t="str">
        <f>VLOOKUP(B2313,Tabelle3!$A$2:$E$33,4,FALSE)</f>
        <v>""</v>
      </c>
      <c r="D2316" t="str">
        <f t="shared" ref="D2316:D2379" si="1900">IF(ISNUMBER(B2316),(A2316&amp;B2316),"")</f>
        <v/>
      </c>
    </row>
    <row r="2317" spans="1:4" x14ac:dyDescent="0.55000000000000004">
      <c r="A2317" t="s">
        <v>6</v>
      </c>
      <c r="D2317" t="str">
        <f t="shared" ref="D2317:D2380" si="1901">A2317</f>
        <v xml:space="preserve">  },</v>
      </c>
    </row>
    <row r="2318" spans="1:4" x14ac:dyDescent="0.55000000000000004">
      <c r="A2318" t="s">
        <v>394</v>
      </c>
      <c r="D2318" t="str">
        <f t="shared" si="1901"/>
        <v xml:space="preserve">  "32-38": {</v>
      </c>
    </row>
    <row r="2319" spans="1:4" x14ac:dyDescent="0.55000000000000004">
      <c r="A2319" t="s">
        <v>76</v>
      </c>
      <c r="B2319">
        <f t="shared" ref="B2319" si="1902">_xlfn.NUMBERVALUE(RIGHT(A2319,2))</f>
        <v>45</v>
      </c>
      <c r="D2319" t="str">
        <f t="shared" ref="D2319:D2382" si="1903">A2319&amp;","</f>
        <v xml:space="preserve">    "resultPage": 45,</v>
      </c>
    </row>
    <row r="2320" spans="1:4" x14ac:dyDescent="0.55000000000000004">
      <c r="A2320" t="s">
        <v>763</v>
      </c>
      <c r="B2320" t="str">
        <f>VLOOKUP(B2319,Tabelle3!$A$2:$E$33,3,FALSE)</f>
        <v>Parrying High</v>
      </c>
      <c r="C2320" t="s">
        <v>762</v>
      </c>
      <c r="D2320" t="str">
        <f t="shared" ref="D2320" si="1904">_xlfn.CONCAT(A2320:C2320)</f>
        <v xml:space="preserve">    "message":  "Parrying High",</v>
      </c>
    </row>
    <row r="2321" spans="1:4" x14ac:dyDescent="0.55000000000000004">
      <c r="A2321" t="s">
        <v>764</v>
      </c>
      <c r="B2321" t="str">
        <f>VLOOKUP(B2319,Tabelle3!$A$2:$E$33,5,FALSE)</f>
        <v/>
      </c>
      <c r="C2321" t="s">
        <v>762</v>
      </c>
      <c r="D2321" t="str">
        <f t="shared" si="1859"/>
        <v xml:space="preserve">    "nextInstruction":  "",</v>
      </c>
    </row>
    <row r="2322" spans="1:4" x14ac:dyDescent="0.55000000000000004">
      <c r="A2322" t="s">
        <v>765</v>
      </c>
      <c r="B2322">
        <f>VLOOKUP(B2319,Tabelle3!$A$2:$E$33,4,FALSE)</f>
        <v>-4</v>
      </c>
      <c r="D2322" t="str">
        <f t="shared" ref="D2322:D2385" si="1905">IF(ISNUMBER(B2322),(A2322&amp;B2322),"")</f>
        <v xml:space="preserve">    "damageModifier": -4</v>
      </c>
    </row>
    <row r="2323" spans="1:4" x14ac:dyDescent="0.55000000000000004">
      <c r="A2323" t="s">
        <v>6</v>
      </c>
      <c r="D2323" t="str">
        <f t="shared" ref="D2323:D2386" si="1906">A2323</f>
        <v xml:space="preserve">  },</v>
      </c>
    </row>
    <row r="2324" spans="1:4" x14ac:dyDescent="0.55000000000000004">
      <c r="A2324" t="s">
        <v>395</v>
      </c>
      <c r="D2324" t="str">
        <f t="shared" si="1906"/>
        <v xml:space="preserve">  "32-40": {</v>
      </c>
    </row>
    <row r="2325" spans="1:4" x14ac:dyDescent="0.55000000000000004">
      <c r="A2325" t="s">
        <v>65</v>
      </c>
      <c r="B2325">
        <f t="shared" ref="B2325" si="1907">_xlfn.NUMBERVALUE(RIGHT(A2325,2))</f>
        <v>9</v>
      </c>
      <c r="D2325" t="str">
        <f t="shared" ref="D2325:D2388" si="1908">A2325&amp;","</f>
        <v xml:space="preserve">    "resultPage": 9,</v>
      </c>
    </row>
    <row r="2326" spans="1:4" x14ac:dyDescent="0.55000000000000004">
      <c r="A2326" t="s">
        <v>763</v>
      </c>
      <c r="B2326" t="str">
        <f>VLOOKUP(B2325,Tabelle3!$A$2:$E$33,3,FALSE)</f>
        <v>Thrusting High</v>
      </c>
      <c r="C2326" t="s">
        <v>762</v>
      </c>
      <c r="D2326" t="str">
        <f t="shared" ref="D2326" si="1909">_xlfn.CONCAT(A2326:C2326)</f>
        <v xml:space="preserve">    "message":  "Thrusting High",</v>
      </c>
    </row>
    <row r="2327" spans="1:4" x14ac:dyDescent="0.55000000000000004">
      <c r="A2327" t="s">
        <v>764</v>
      </c>
      <c r="B2327" t="str">
        <f>VLOOKUP(B2325,Tabelle3!$A$2:$E$33,5,FALSE)</f>
        <v/>
      </c>
      <c r="C2327" t="s">
        <v>762</v>
      </c>
      <c r="D2327" t="str">
        <f t="shared" si="1859"/>
        <v xml:space="preserve">    "nextInstruction":  "",</v>
      </c>
    </row>
    <row r="2328" spans="1:4" x14ac:dyDescent="0.55000000000000004">
      <c r="A2328" t="s">
        <v>765</v>
      </c>
      <c r="B2328" t="str">
        <f>VLOOKUP(B2325,Tabelle3!$A$2:$E$33,4,FALSE)</f>
        <v>""</v>
      </c>
      <c r="D2328" t="str">
        <f t="shared" ref="D2328:D2391" si="1910">IF(ISNUMBER(B2328),(A2328&amp;B2328),"")</f>
        <v/>
      </c>
    </row>
    <row r="2329" spans="1:4" x14ac:dyDescent="0.55000000000000004">
      <c r="A2329" t="s">
        <v>6</v>
      </c>
      <c r="D2329" t="str">
        <f t="shared" ref="D2329:D2392" si="1911">A2329</f>
        <v xml:space="preserve">  },</v>
      </c>
    </row>
    <row r="2330" spans="1:4" x14ac:dyDescent="0.55000000000000004">
      <c r="A2330" t="s">
        <v>396</v>
      </c>
      <c r="D2330" t="str">
        <f t="shared" si="1911"/>
        <v xml:space="preserve">  "32-42": {</v>
      </c>
    </row>
    <row r="2331" spans="1:4" x14ac:dyDescent="0.55000000000000004">
      <c r="A2331" t="s">
        <v>65</v>
      </c>
      <c r="B2331">
        <f t="shared" ref="B2331" si="1912">_xlfn.NUMBERVALUE(RIGHT(A2331,2))</f>
        <v>9</v>
      </c>
      <c r="D2331" t="str">
        <f t="shared" ref="D2331:D2394" si="1913">A2331&amp;","</f>
        <v xml:space="preserve">    "resultPage": 9,</v>
      </c>
    </row>
    <row r="2332" spans="1:4" x14ac:dyDescent="0.55000000000000004">
      <c r="A2332" t="s">
        <v>763</v>
      </c>
      <c r="B2332" t="str">
        <f>VLOOKUP(B2331,Tabelle3!$A$2:$E$33,3,FALSE)</f>
        <v>Thrusting High</v>
      </c>
      <c r="C2332" t="s">
        <v>762</v>
      </c>
      <c r="D2332" t="str">
        <f t="shared" ref="D2332:D2393" si="1914">_xlfn.CONCAT(A2332:C2332)</f>
        <v xml:space="preserve">    "message":  "Thrusting High",</v>
      </c>
    </row>
    <row r="2333" spans="1:4" x14ac:dyDescent="0.55000000000000004">
      <c r="A2333" t="s">
        <v>764</v>
      </c>
      <c r="B2333" t="str">
        <f>VLOOKUP(B2331,Tabelle3!$A$2:$E$33,5,FALSE)</f>
        <v/>
      </c>
      <c r="C2333" t="s">
        <v>762</v>
      </c>
      <c r="D2333" t="str">
        <f t="shared" si="1914"/>
        <v xml:space="preserve">    "nextInstruction":  "",</v>
      </c>
    </row>
    <row r="2334" spans="1:4" x14ac:dyDescent="0.55000000000000004">
      <c r="A2334" t="s">
        <v>765</v>
      </c>
      <c r="B2334" t="str">
        <f>VLOOKUP(B2331,Tabelle3!$A$2:$E$33,4,FALSE)</f>
        <v>""</v>
      </c>
      <c r="D2334" t="str">
        <f t="shared" ref="D2334:D2397" si="1915">IF(ISNUMBER(B2334),(A2334&amp;B2334),"")</f>
        <v/>
      </c>
    </row>
    <row r="2335" spans="1:4" x14ac:dyDescent="0.55000000000000004">
      <c r="A2335" t="s">
        <v>6</v>
      </c>
      <c r="D2335" t="str">
        <f t="shared" ref="D2335:D2398" si="1916">A2335</f>
        <v xml:space="preserve">  },</v>
      </c>
    </row>
    <row r="2336" spans="1:4" x14ac:dyDescent="0.55000000000000004">
      <c r="A2336" t="s">
        <v>397</v>
      </c>
      <c r="D2336" t="str">
        <f t="shared" si="1916"/>
        <v xml:space="preserve">  "32-44": {</v>
      </c>
    </row>
    <row r="2337" spans="1:4" x14ac:dyDescent="0.55000000000000004">
      <c r="A2337" t="s">
        <v>76</v>
      </c>
      <c r="B2337">
        <f t="shared" ref="B2337" si="1917">_xlfn.NUMBERVALUE(RIGHT(A2337,2))</f>
        <v>45</v>
      </c>
      <c r="D2337" t="str">
        <f t="shared" ref="D2337:D2400" si="1918">A2337&amp;","</f>
        <v xml:space="preserve">    "resultPage": 45,</v>
      </c>
    </row>
    <row r="2338" spans="1:4" x14ac:dyDescent="0.55000000000000004">
      <c r="A2338" t="s">
        <v>763</v>
      </c>
      <c r="B2338" t="str">
        <f>VLOOKUP(B2337,Tabelle3!$A$2:$E$33,3,FALSE)</f>
        <v>Parrying High</v>
      </c>
      <c r="C2338" t="s">
        <v>762</v>
      </c>
      <c r="D2338" t="str">
        <f t="shared" ref="D2338" si="1919">_xlfn.CONCAT(A2338:C2338)</f>
        <v xml:space="preserve">    "message":  "Parrying High",</v>
      </c>
    </row>
    <row r="2339" spans="1:4" x14ac:dyDescent="0.55000000000000004">
      <c r="A2339" t="s">
        <v>764</v>
      </c>
      <c r="B2339" t="str">
        <f>VLOOKUP(B2337,Tabelle3!$A$2:$E$33,5,FALSE)</f>
        <v/>
      </c>
      <c r="C2339" t="s">
        <v>762</v>
      </c>
      <c r="D2339" t="str">
        <f t="shared" si="1914"/>
        <v xml:space="preserve">    "nextInstruction":  "",</v>
      </c>
    </row>
    <row r="2340" spans="1:4" x14ac:dyDescent="0.55000000000000004">
      <c r="A2340" t="s">
        <v>765</v>
      </c>
      <c r="B2340">
        <f>VLOOKUP(B2337,Tabelle3!$A$2:$E$33,4,FALSE)</f>
        <v>-4</v>
      </c>
      <c r="D2340" t="str">
        <f t="shared" ref="D2340:D2403" si="1920">IF(ISNUMBER(B2340),(A2340&amp;B2340),"")</f>
        <v xml:space="preserve">    "damageModifier": -4</v>
      </c>
    </row>
    <row r="2341" spans="1:4" x14ac:dyDescent="0.55000000000000004">
      <c r="A2341" t="s">
        <v>6</v>
      </c>
      <c r="D2341" t="str">
        <f t="shared" ref="D2341:D2404" si="1921">A2341</f>
        <v xml:space="preserve">  },</v>
      </c>
    </row>
    <row r="2342" spans="1:4" x14ac:dyDescent="0.55000000000000004">
      <c r="A2342" t="s">
        <v>398</v>
      </c>
      <c r="D2342" t="str">
        <f t="shared" si="1921"/>
        <v xml:space="preserve">  "32-46": {</v>
      </c>
    </row>
    <row r="2343" spans="1:4" x14ac:dyDescent="0.55000000000000004">
      <c r="A2343" t="s">
        <v>65</v>
      </c>
      <c r="B2343">
        <f t="shared" ref="B2343" si="1922">_xlfn.NUMBERVALUE(RIGHT(A2343,2))</f>
        <v>9</v>
      </c>
      <c r="D2343" t="str">
        <f t="shared" ref="D2343:D2406" si="1923">A2343&amp;","</f>
        <v xml:space="preserve">    "resultPage": 9,</v>
      </c>
    </row>
    <row r="2344" spans="1:4" x14ac:dyDescent="0.55000000000000004">
      <c r="A2344" t="s">
        <v>763</v>
      </c>
      <c r="B2344" t="str">
        <f>VLOOKUP(B2343,Tabelle3!$A$2:$E$33,3,FALSE)</f>
        <v>Thrusting High</v>
      </c>
      <c r="C2344" t="s">
        <v>762</v>
      </c>
      <c r="D2344" t="str">
        <f t="shared" ref="D2344" si="1924">_xlfn.CONCAT(A2344:C2344)</f>
        <v xml:space="preserve">    "message":  "Thrusting High",</v>
      </c>
    </row>
    <row r="2345" spans="1:4" x14ac:dyDescent="0.55000000000000004">
      <c r="A2345" t="s">
        <v>764</v>
      </c>
      <c r="B2345" t="str">
        <f>VLOOKUP(B2343,Tabelle3!$A$2:$E$33,5,FALSE)</f>
        <v/>
      </c>
      <c r="C2345" t="s">
        <v>762</v>
      </c>
      <c r="D2345" t="str">
        <f t="shared" si="1914"/>
        <v xml:space="preserve">    "nextInstruction":  "",</v>
      </c>
    </row>
    <row r="2346" spans="1:4" x14ac:dyDescent="0.55000000000000004">
      <c r="A2346" t="s">
        <v>765</v>
      </c>
      <c r="B2346" t="str">
        <f>VLOOKUP(B2343,Tabelle3!$A$2:$E$33,4,FALSE)</f>
        <v>""</v>
      </c>
      <c r="D2346" t="str">
        <f t="shared" ref="D2346:D2409" si="1925">IF(ISNUMBER(B2346),(A2346&amp;B2346),"")</f>
        <v/>
      </c>
    </row>
    <row r="2347" spans="1:4" x14ac:dyDescent="0.55000000000000004">
      <c r="A2347" t="s">
        <v>6</v>
      </c>
      <c r="D2347" t="str">
        <f t="shared" ref="D2347:D2410" si="1926">A2347</f>
        <v xml:space="preserve">  },</v>
      </c>
    </row>
    <row r="2348" spans="1:4" x14ac:dyDescent="0.55000000000000004">
      <c r="A2348" t="s">
        <v>399</v>
      </c>
      <c r="D2348" t="str">
        <f t="shared" si="1926"/>
        <v xml:space="preserve">  "32-48": {</v>
      </c>
    </row>
    <row r="2349" spans="1:4" x14ac:dyDescent="0.55000000000000004">
      <c r="A2349" t="s">
        <v>65</v>
      </c>
      <c r="B2349">
        <f t="shared" ref="B2349" si="1927">_xlfn.NUMBERVALUE(RIGHT(A2349,2))</f>
        <v>9</v>
      </c>
      <c r="D2349" t="str">
        <f t="shared" ref="D2349:D2412" si="1928">A2349&amp;","</f>
        <v xml:space="preserve">    "resultPage": 9,</v>
      </c>
    </row>
    <row r="2350" spans="1:4" x14ac:dyDescent="0.55000000000000004">
      <c r="A2350" t="s">
        <v>763</v>
      </c>
      <c r="B2350" t="str">
        <f>VLOOKUP(B2349,Tabelle3!$A$2:$E$33,3,FALSE)</f>
        <v>Thrusting High</v>
      </c>
      <c r="C2350" t="s">
        <v>762</v>
      </c>
      <c r="D2350" t="str">
        <f t="shared" ref="D2350" si="1929">_xlfn.CONCAT(A2350:C2350)</f>
        <v xml:space="preserve">    "message":  "Thrusting High",</v>
      </c>
    </row>
    <row r="2351" spans="1:4" x14ac:dyDescent="0.55000000000000004">
      <c r="A2351" t="s">
        <v>764</v>
      </c>
      <c r="B2351" t="str">
        <f>VLOOKUP(B2349,Tabelle3!$A$2:$E$33,5,FALSE)</f>
        <v/>
      </c>
      <c r="C2351" t="s">
        <v>762</v>
      </c>
      <c r="D2351" t="str">
        <f t="shared" si="1914"/>
        <v xml:space="preserve">    "nextInstruction":  "",</v>
      </c>
    </row>
    <row r="2352" spans="1:4" x14ac:dyDescent="0.55000000000000004">
      <c r="A2352" t="s">
        <v>765</v>
      </c>
      <c r="B2352" t="str">
        <f>VLOOKUP(B2349,Tabelle3!$A$2:$E$33,4,FALSE)</f>
        <v>""</v>
      </c>
      <c r="D2352" t="str">
        <f t="shared" ref="D2352:D2415" si="1930">IF(ISNUMBER(B2352),(A2352&amp;B2352),"")</f>
        <v/>
      </c>
    </row>
    <row r="2353" spans="1:4" x14ac:dyDescent="0.55000000000000004">
      <c r="A2353" t="s">
        <v>6</v>
      </c>
      <c r="D2353" t="str">
        <f t="shared" ref="D2353:D2416" si="1931">A2353</f>
        <v xml:space="preserve">  },</v>
      </c>
    </row>
    <row r="2354" spans="1:4" x14ac:dyDescent="0.55000000000000004">
      <c r="A2354" t="s">
        <v>400</v>
      </c>
      <c r="D2354" t="str">
        <f t="shared" si="1931"/>
        <v xml:space="preserve">  "34-4": {</v>
      </c>
    </row>
    <row r="2355" spans="1:4" x14ac:dyDescent="0.55000000000000004">
      <c r="A2355" t="s">
        <v>35</v>
      </c>
      <c r="B2355">
        <f t="shared" ref="B2355" si="1932">_xlfn.NUMBERVALUE(RIGHT(A2355,2))</f>
        <v>59</v>
      </c>
      <c r="D2355" t="str">
        <f t="shared" ref="D2355:D2418" si="1933">A2355&amp;","</f>
        <v xml:space="preserve">    "resultPage": 59,</v>
      </c>
    </row>
    <row r="2356" spans="1:4" x14ac:dyDescent="0.55000000000000004">
      <c r="A2356" t="s">
        <v>763</v>
      </c>
      <c r="B2356" t="str">
        <f>VLOOKUP(B2355,Tabelle3!$A$2:$E$33,3,FALSE)</f>
        <v>Pushed off Balance</v>
      </c>
      <c r="C2356" t="s">
        <v>762</v>
      </c>
      <c r="D2356" t="str">
        <f t="shared" ref="D2356" si="1934">_xlfn.CONCAT(A2356:C2356)</f>
        <v xml:space="preserve">    "message":  "Pushed off Balance",</v>
      </c>
    </row>
    <row r="2357" spans="1:4" x14ac:dyDescent="0.55000000000000004">
      <c r="A2357" t="s">
        <v>764</v>
      </c>
      <c r="B2357" t="str">
        <f>VLOOKUP(B2355,Tabelle3!$A$2:$E$33,5,FALSE)</f>
        <v>Only Green Only Yellow</v>
      </c>
      <c r="C2357" t="s">
        <v>762</v>
      </c>
      <c r="D2357" t="str">
        <f t="shared" si="1914"/>
        <v xml:space="preserve">    "nextInstruction":  "Only Green Only Yellow",</v>
      </c>
    </row>
    <row r="2358" spans="1:4" x14ac:dyDescent="0.55000000000000004">
      <c r="A2358" t="s">
        <v>765</v>
      </c>
      <c r="B2358">
        <f>VLOOKUP(B2355,Tabelle3!$A$2:$E$33,4,FALSE)</f>
        <v>0</v>
      </c>
      <c r="D2358" t="str">
        <f t="shared" ref="D2358:D2421" si="1935">IF(ISNUMBER(B2358),(A2358&amp;B2358),"")</f>
        <v xml:space="preserve">    "damageModifier": 0</v>
      </c>
    </row>
    <row r="2359" spans="1:4" x14ac:dyDescent="0.55000000000000004">
      <c r="A2359" t="s">
        <v>6</v>
      </c>
      <c r="D2359" t="str">
        <f t="shared" ref="D2359:D2422" si="1936">A2359</f>
        <v xml:space="preserve">  },</v>
      </c>
    </row>
    <row r="2360" spans="1:4" x14ac:dyDescent="0.55000000000000004">
      <c r="A2360" t="s">
        <v>401</v>
      </c>
      <c r="D2360" t="str">
        <f t="shared" si="1936"/>
        <v xml:space="preserve">  "34-6": {</v>
      </c>
    </row>
    <row r="2361" spans="1:4" x14ac:dyDescent="0.55000000000000004">
      <c r="A2361" t="s">
        <v>402</v>
      </c>
      <c r="B2361">
        <f t="shared" ref="B2361" si="1937">_xlfn.NUMBERVALUE(RIGHT(A2361,2))</f>
        <v>25</v>
      </c>
      <c r="D2361" t="str">
        <f t="shared" ref="D2361:D2424" si="1938">A2361&amp;","</f>
        <v xml:space="preserve">    "resultPage": 25,</v>
      </c>
    </row>
    <row r="2362" spans="1:4" x14ac:dyDescent="0.55000000000000004">
      <c r="A2362" t="s">
        <v>763</v>
      </c>
      <c r="B2362" t="str">
        <f>VLOOKUP(B2361,Tabelle3!$A$2:$E$33,3,FALSE)</f>
        <v>Kicking</v>
      </c>
      <c r="C2362" t="s">
        <v>762</v>
      </c>
      <c r="D2362" t="str">
        <f t="shared" ref="D2362" si="1939">_xlfn.CONCAT(A2362:C2362)</f>
        <v xml:space="preserve">    "message":  "Kicking",</v>
      </c>
    </row>
    <row r="2363" spans="1:4" x14ac:dyDescent="0.55000000000000004">
      <c r="A2363" t="s">
        <v>764</v>
      </c>
      <c r="B2363" t="str">
        <f>VLOOKUP(B2361,Tabelle3!$A$2:$E$33,5,FALSE)</f>
        <v>No Yellow</v>
      </c>
      <c r="C2363" t="s">
        <v>762</v>
      </c>
      <c r="D2363" t="str">
        <f t="shared" si="1914"/>
        <v xml:space="preserve">    "nextInstruction":  "No Yellow",</v>
      </c>
    </row>
    <row r="2364" spans="1:4" x14ac:dyDescent="0.55000000000000004">
      <c r="A2364" t="s">
        <v>765</v>
      </c>
      <c r="B2364" t="str">
        <f>VLOOKUP(B2361,Tabelle3!$A$2:$E$33,4,FALSE)</f>
        <v>""</v>
      </c>
      <c r="D2364" t="str">
        <f t="shared" ref="D2364:D2427" si="1940">IF(ISNUMBER(B2364),(A2364&amp;B2364),"")</f>
        <v/>
      </c>
    </row>
    <row r="2365" spans="1:4" x14ac:dyDescent="0.55000000000000004">
      <c r="A2365" t="s">
        <v>6</v>
      </c>
      <c r="D2365" t="str">
        <f t="shared" ref="D2365:D2428" si="1941">A2365</f>
        <v xml:space="preserve">  },</v>
      </c>
    </row>
    <row r="2366" spans="1:4" x14ac:dyDescent="0.55000000000000004">
      <c r="A2366" t="s">
        <v>403</v>
      </c>
      <c r="D2366" t="str">
        <f t="shared" si="1941"/>
        <v xml:space="preserve">  "34-8": {</v>
      </c>
    </row>
    <row r="2367" spans="1:4" x14ac:dyDescent="0.55000000000000004">
      <c r="A2367" t="s">
        <v>58</v>
      </c>
      <c r="B2367">
        <f t="shared" ref="B2367" si="1942">_xlfn.NUMBERVALUE(RIGHT(A2367,2))</f>
        <v>19</v>
      </c>
      <c r="D2367" t="str">
        <f t="shared" ref="D2367:D2430" si="1943">A2367&amp;","</f>
        <v xml:space="preserve">    "resultPage": 19,</v>
      </c>
    </row>
    <row r="2368" spans="1:4" x14ac:dyDescent="0.55000000000000004">
      <c r="A2368" t="s">
        <v>763</v>
      </c>
      <c r="B2368" t="str">
        <f>VLOOKUP(B2367,Tabelle3!$A$2:$E$33,3,FALSE)</f>
        <v>Struck off Balance</v>
      </c>
      <c r="C2368" t="s">
        <v>762</v>
      </c>
      <c r="D2368" t="str">
        <f t="shared" ref="D2368" si="1944">_xlfn.CONCAT(A2368:C2368)</f>
        <v xml:space="preserve">    "message":  "Struck off Balance",</v>
      </c>
    </row>
    <row r="2369" spans="1:4" x14ac:dyDescent="0.55000000000000004">
      <c r="A2369" t="s">
        <v>764</v>
      </c>
      <c r="B2369" t="str">
        <f>VLOOKUP(B2367,Tabelle3!$A$2:$E$33,5,FALSE)</f>
        <v>Only Green Only Yellow</v>
      </c>
      <c r="C2369" t="s">
        <v>762</v>
      </c>
      <c r="D2369" t="str">
        <f t="shared" si="1914"/>
        <v xml:space="preserve">    "nextInstruction":  "Only Green Only Yellow",</v>
      </c>
    </row>
    <row r="2370" spans="1:4" x14ac:dyDescent="0.55000000000000004">
      <c r="A2370" t="s">
        <v>765</v>
      </c>
      <c r="B2370">
        <f>VLOOKUP(B2367,Tabelle3!$A$2:$E$33,4,FALSE)</f>
        <v>0</v>
      </c>
      <c r="D2370" t="str">
        <f t="shared" ref="D2370:D2433" si="1945">IF(ISNUMBER(B2370),(A2370&amp;B2370),"")</f>
        <v xml:space="preserve">    "damageModifier": 0</v>
      </c>
    </row>
    <row r="2371" spans="1:4" x14ac:dyDescent="0.55000000000000004">
      <c r="A2371" t="s">
        <v>6</v>
      </c>
      <c r="D2371" t="str">
        <f t="shared" ref="D2371:D2434" si="1946">A2371</f>
        <v xml:space="preserve">  },</v>
      </c>
    </row>
    <row r="2372" spans="1:4" x14ac:dyDescent="0.55000000000000004">
      <c r="A2372" t="s">
        <v>404</v>
      </c>
      <c r="D2372" t="str">
        <f t="shared" si="1946"/>
        <v xml:space="preserve">  "34-10": {</v>
      </c>
    </row>
    <row r="2373" spans="1:4" x14ac:dyDescent="0.55000000000000004">
      <c r="A2373" t="s">
        <v>402</v>
      </c>
      <c r="B2373">
        <f t="shared" ref="B2373" si="1947">_xlfn.NUMBERVALUE(RIGHT(A2373,2))</f>
        <v>25</v>
      </c>
      <c r="D2373" t="str">
        <f t="shared" ref="D2373:D2436" si="1948">A2373&amp;","</f>
        <v xml:space="preserve">    "resultPage": 25,</v>
      </c>
    </row>
    <row r="2374" spans="1:4" x14ac:dyDescent="0.55000000000000004">
      <c r="A2374" t="s">
        <v>763</v>
      </c>
      <c r="B2374" t="str">
        <f>VLOOKUP(B2373,Tabelle3!$A$2:$E$33,3,FALSE)</f>
        <v>Kicking</v>
      </c>
      <c r="C2374" t="s">
        <v>762</v>
      </c>
      <c r="D2374" t="str">
        <f t="shared" ref="D2374" si="1949">_xlfn.CONCAT(A2374:C2374)</f>
        <v xml:space="preserve">    "message":  "Kicking",</v>
      </c>
    </row>
    <row r="2375" spans="1:4" x14ac:dyDescent="0.55000000000000004">
      <c r="A2375" t="s">
        <v>764</v>
      </c>
      <c r="B2375" t="str">
        <f>VLOOKUP(B2373,Tabelle3!$A$2:$E$33,5,FALSE)</f>
        <v>No Yellow</v>
      </c>
      <c r="C2375" t="s">
        <v>762</v>
      </c>
      <c r="D2375" t="str">
        <f t="shared" si="1914"/>
        <v xml:space="preserve">    "nextInstruction":  "No Yellow",</v>
      </c>
    </row>
    <row r="2376" spans="1:4" x14ac:dyDescent="0.55000000000000004">
      <c r="A2376" t="s">
        <v>765</v>
      </c>
      <c r="B2376" t="str">
        <f>VLOOKUP(B2373,Tabelle3!$A$2:$E$33,4,FALSE)</f>
        <v>""</v>
      </c>
      <c r="D2376" t="str">
        <f t="shared" ref="D2376:D2439" si="1950">IF(ISNUMBER(B2376),(A2376&amp;B2376),"")</f>
        <v/>
      </c>
    </row>
    <row r="2377" spans="1:4" x14ac:dyDescent="0.55000000000000004">
      <c r="A2377" t="s">
        <v>6</v>
      </c>
      <c r="D2377" t="str">
        <f t="shared" ref="D2377:D2440" si="1951">A2377</f>
        <v xml:space="preserve">  },</v>
      </c>
    </row>
    <row r="2378" spans="1:4" x14ac:dyDescent="0.55000000000000004">
      <c r="A2378" t="s">
        <v>405</v>
      </c>
      <c r="D2378" t="str">
        <f t="shared" si="1951"/>
        <v xml:space="preserve">  "34-12": {</v>
      </c>
    </row>
    <row r="2379" spans="1:4" x14ac:dyDescent="0.55000000000000004">
      <c r="A2379" t="s">
        <v>402</v>
      </c>
      <c r="B2379">
        <f t="shared" ref="B2379" si="1952">_xlfn.NUMBERVALUE(RIGHT(A2379,2))</f>
        <v>25</v>
      </c>
      <c r="D2379" t="str">
        <f t="shared" ref="D2379:D2442" si="1953">A2379&amp;","</f>
        <v xml:space="preserve">    "resultPage": 25,</v>
      </c>
    </row>
    <row r="2380" spans="1:4" x14ac:dyDescent="0.55000000000000004">
      <c r="A2380" t="s">
        <v>763</v>
      </c>
      <c r="B2380" t="str">
        <f>VLOOKUP(B2379,Tabelle3!$A$2:$E$33,3,FALSE)</f>
        <v>Kicking</v>
      </c>
      <c r="C2380" t="s">
        <v>762</v>
      </c>
      <c r="D2380" t="str">
        <f t="shared" ref="D2380" si="1954">_xlfn.CONCAT(A2380:C2380)</f>
        <v xml:space="preserve">    "message":  "Kicking",</v>
      </c>
    </row>
    <row r="2381" spans="1:4" x14ac:dyDescent="0.55000000000000004">
      <c r="A2381" t="s">
        <v>764</v>
      </c>
      <c r="B2381" t="str">
        <f>VLOOKUP(B2379,Tabelle3!$A$2:$E$33,5,FALSE)</f>
        <v>No Yellow</v>
      </c>
      <c r="C2381" t="s">
        <v>762</v>
      </c>
      <c r="D2381" t="str">
        <f t="shared" si="1914"/>
        <v xml:space="preserve">    "nextInstruction":  "No Yellow",</v>
      </c>
    </row>
    <row r="2382" spans="1:4" x14ac:dyDescent="0.55000000000000004">
      <c r="A2382" t="s">
        <v>765</v>
      </c>
      <c r="B2382" t="str">
        <f>VLOOKUP(B2379,Tabelle3!$A$2:$E$33,4,FALSE)</f>
        <v>""</v>
      </c>
      <c r="D2382" t="str">
        <f t="shared" ref="D2382:D2445" si="1955">IF(ISNUMBER(B2382),(A2382&amp;B2382),"")</f>
        <v/>
      </c>
    </row>
    <row r="2383" spans="1:4" x14ac:dyDescent="0.55000000000000004">
      <c r="A2383" t="s">
        <v>6</v>
      </c>
      <c r="D2383" t="str">
        <f t="shared" ref="D2383:D2446" si="1956">A2383</f>
        <v xml:space="preserve">  },</v>
      </c>
    </row>
    <row r="2384" spans="1:4" x14ac:dyDescent="0.55000000000000004">
      <c r="A2384" t="s">
        <v>406</v>
      </c>
      <c r="D2384" t="str">
        <f t="shared" si="1956"/>
        <v xml:space="preserve">  "34-14": {</v>
      </c>
    </row>
    <row r="2385" spans="1:4" x14ac:dyDescent="0.55000000000000004">
      <c r="A2385" t="s">
        <v>402</v>
      </c>
      <c r="B2385">
        <f t="shared" ref="B2385" si="1957">_xlfn.NUMBERVALUE(RIGHT(A2385,2))</f>
        <v>25</v>
      </c>
      <c r="D2385" t="str">
        <f t="shared" ref="D2385:D2448" si="1958">A2385&amp;","</f>
        <v xml:space="preserve">    "resultPage": 25,</v>
      </c>
    </row>
    <row r="2386" spans="1:4" x14ac:dyDescent="0.55000000000000004">
      <c r="A2386" t="s">
        <v>763</v>
      </c>
      <c r="B2386" t="str">
        <f>VLOOKUP(B2385,Tabelle3!$A$2:$E$33,3,FALSE)</f>
        <v>Kicking</v>
      </c>
      <c r="C2386" t="s">
        <v>762</v>
      </c>
      <c r="D2386" t="str">
        <f t="shared" ref="D2386" si="1959">_xlfn.CONCAT(A2386:C2386)</f>
        <v xml:space="preserve">    "message":  "Kicking",</v>
      </c>
    </row>
    <row r="2387" spans="1:4" x14ac:dyDescent="0.55000000000000004">
      <c r="A2387" t="s">
        <v>764</v>
      </c>
      <c r="B2387" t="str">
        <f>VLOOKUP(B2385,Tabelle3!$A$2:$E$33,5,FALSE)</f>
        <v>No Yellow</v>
      </c>
      <c r="C2387" t="s">
        <v>762</v>
      </c>
      <c r="D2387" t="str">
        <f t="shared" si="1914"/>
        <v xml:space="preserve">    "nextInstruction":  "No Yellow",</v>
      </c>
    </row>
    <row r="2388" spans="1:4" x14ac:dyDescent="0.55000000000000004">
      <c r="A2388" t="s">
        <v>765</v>
      </c>
      <c r="B2388" t="str">
        <f>VLOOKUP(B2385,Tabelle3!$A$2:$E$33,4,FALSE)</f>
        <v>""</v>
      </c>
      <c r="D2388" t="str">
        <f t="shared" ref="D2388:D2451" si="1960">IF(ISNUMBER(B2388),(A2388&amp;B2388),"")</f>
        <v/>
      </c>
    </row>
    <row r="2389" spans="1:4" x14ac:dyDescent="0.55000000000000004">
      <c r="A2389" t="s">
        <v>6</v>
      </c>
      <c r="D2389" t="str">
        <f t="shared" ref="D2389:D2452" si="1961">A2389</f>
        <v xml:space="preserve">  },</v>
      </c>
    </row>
    <row r="2390" spans="1:4" x14ac:dyDescent="0.55000000000000004">
      <c r="A2390" t="s">
        <v>407</v>
      </c>
      <c r="D2390" t="str">
        <f t="shared" si="1961"/>
        <v xml:space="preserve">  "34-16": {</v>
      </c>
    </row>
    <row r="2391" spans="1:4" x14ac:dyDescent="0.55000000000000004">
      <c r="A2391" t="s">
        <v>47</v>
      </c>
      <c r="B2391">
        <f t="shared" ref="B2391" si="1962">_xlfn.NUMBERVALUE(RIGHT(A2391,2))</f>
        <v>41</v>
      </c>
      <c r="D2391" t="str">
        <f t="shared" ref="D2391:D2454" si="1963">A2391&amp;","</f>
        <v xml:space="preserve">    "resultPage": 41,</v>
      </c>
    </row>
    <row r="2392" spans="1:4" x14ac:dyDescent="0.55000000000000004">
      <c r="A2392" t="s">
        <v>763</v>
      </c>
      <c r="B2392" t="str">
        <f>VLOOKUP(B2391,Tabelle3!$A$2:$E$33,3,FALSE)</f>
        <v>Knocked Down</v>
      </c>
      <c r="C2392" t="s">
        <v>762</v>
      </c>
      <c r="D2392" t="str">
        <f t="shared" ref="D2392" si="1964">_xlfn.CONCAT(A2392:C2392)</f>
        <v xml:space="preserve">    "message":  "Knocked Down",</v>
      </c>
    </row>
    <row r="2393" spans="1:4" x14ac:dyDescent="0.55000000000000004">
      <c r="A2393" t="s">
        <v>764</v>
      </c>
      <c r="B2393" t="str">
        <f>VLOOKUP(B2391,Tabelle3!$A$2:$E$33,5,FALSE)</f>
        <v>Only Yellow No Orange</v>
      </c>
      <c r="C2393" t="s">
        <v>762</v>
      </c>
      <c r="D2393" t="str">
        <f t="shared" si="1914"/>
        <v xml:space="preserve">    "nextInstruction":  "Only Yellow No Orange",</v>
      </c>
    </row>
    <row r="2394" spans="1:4" x14ac:dyDescent="0.55000000000000004">
      <c r="A2394" t="s">
        <v>765</v>
      </c>
      <c r="B2394">
        <f>VLOOKUP(B2391,Tabelle3!$A$2:$E$33,4,FALSE)</f>
        <v>0</v>
      </c>
      <c r="D2394" t="str">
        <f t="shared" ref="D2394:D2457" si="1965">IF(ISNUMBER(B2394),(A2394&amp;B2394),"")</f>
        <v xml:space="preserve">    "damageModifier": 0</v>
      </c>
    </row>
    <row r="2395" spans="1:4" x14ac:dyDescent="0.55000000000000004">
      <c r="A2395" t="s">
        <v>6</v>
      </c>
      <c r="D2395" t="str">
        <f t="shared" ref="D2395:D2458" si="1966">A2395</f>
        <v xml:space="preserve">  },</v>
      </c>
    </row>
    <row r="2396" spans="1:4" x14ac:dyDescent="0.55000000000000004">
      <c r="A2396" t="s">
        <v>408</v>
      </c>
      <c r="D2396" t="str">
        <f t="shared" si="1966"/>
        <v xml:space="preserve">  "34-18": {</v>
      </c>
    </row>
    <row r="2397" spans="1:4" x14ac:dyDescent="0.55000000000000004">
      <c r="A2397" t="s">
        <v>47</v>
      </c>
      <c r="B2397">
        <f t="shared" ref="B2397" si="1967">_xlfn.NUMBERVALUE(RIGHT(A2397,2))</f>
        <v>41</v>
      </c>
      <c r="D2397" t="str">
        <f t="shared" ref="D2397:D2460" si="1968">A2397&amp;","</f>
        <v xml:space="preserve">    "resultPage": 41,</v>
      </c>
    </row>
    <row r="2398" spans="1:4" x14ac:dyDescent="0.55000000000000004">
      <c r="A2398" t="s">
        <v>763</v>
      </c>
      <c r="B2398" t="str">
        <f>VLOOKUP(B2397,Tabelle3!$A$2:$E$33,3,FALSE)</f>
        <v>Knocked Down</v>
      </c>
      <c r="C2398" t="s">
        <v>762</v>
      </c>
      <c r="D2398" t="str">
        <f t="shared" ref="D2398:D2459" si="1969">_xlfn.CONCAT(A2398:C2398)</f>
        <v xml:space="preserve">    "message":  "Knocked Down",</v>
      </c>
    </row>
    <row r="2399" spans="1:4" x14ac:dyDescent="0.55000000000000004">
      <c r="A2399" t="s">
        <v>764</v>
      </c>
      <c r="B2399" t="str">
        <f>VLOOKUP(B2397,Tabelle3!$A$2:$E$33,5,FALSE)</f>
        <v>Only Yellow No Orange</v>
      </c>
      <c r="C2399" t="s">
        <v>762</v>
      </c>
      <c r="D2399" t="str">
        <f t="shared" si="1969"/>
        <v xml:space="preserve">    "nextInstruction":  "Only Yellow No Orange",</v>
      </c>
    </row>
    <row r="2400" spans="1:4" x14ac:dyDescent="0.55000000000000004">
      <c r="A2400" t="s">
        <v>765</v>
      </c>
      <c r="B2400">
        <f>VLOOKUP(B2397,Tabelle3!$A$2:$E$33,4,FALSE)</f>
        <v>0</v>
      </c>
      <c r="D2400" t="str">
        <f t="shared" ref="D2400:D2463" si="1970">IF(ISNUMBER(B2400),(A2400&amp;B2400),"")</f>
        <v xml:space="preserve">    "damageModifier": 0</v>
      </c>
    </row>
    <row r="2401" spans="1:4" x14ac:dyDescent="0.55000000000000004">
      <c r="A2401" t="s">
        <v>6</v>
      </c>
      <c r="D2401" t="str">
        <f t="shared" ref="D2401:D2464" si="1971">A2401</f>
        <v xml:space="preserve">  },</v>
      </c>
    </row>
    <row r="2402" spans="1:4" x14ac:dyDescent="0.55000000000000004">
      <c r="A2402" t="s">
        <v>409</v>
      </c>
      <c r="D2402" t="str">
        <f t="shared" si="1971"/>
        <v xml:space="preserve">  "34-20": {</v>
      </c>
    </row>
    <row r="2403" spans="1:4" x14ac:dyDescent="0.55000000000000004">
      <c r="A2403" t="s">
        <v>402</v>
      </c>
      <c r="B2403">
        <f t="shared" ref="B2403" si="1972">_xlfn.NUMBERVALUE(RIGHT(A2403,2))</f>
        <v>25</v>
      </c>
      <c r="D2403" t="str">
        <f t="shared" ref="D2403:D2466" si="1973">A2403&amp;","</f>
        <v xml:space="preserve">    "resultPage": 25,</v>
      </c>
    </row>
    <row r="2404" spans="1:4" x14ac:dyDescent="0.55000000000000004">
      <c r="A2404" t="s">
        <v>763</v>
      </c>
      <c r="B2404" t="str">
        <f>VLOOKUP(B2403,Tabelle3!$A$2:$E$33,3,FALSE)</f>
        <v>Kicking</v>
      </c>
      <c r="C2404" t="s">
        <v>762</v>
      </c>
      <c r="D2404" t="str">
        <f t="shared" ref="D2404" si="1974">_xlfn.CONCAT(A2404:C2404)</f>
        <v xml:space="preserve">    "message":  "Kicking",</v>
      </c>
    </row>
    <row r="2405" spans="1:4" x14ac:dyDescent="0.55000000000000004">
      <c r="A2405" t="s">
        <v>764</v>
      </c>
      <c r="B2405" t="str">
        <f>VLOOKUP(B2403,Tabelle3!$A$2:$E$33,5,FALSE)</f>
        <v>No Yellow</v>
      </c>
      <c r="C2405" t="s">
        <v>762</v>
      </c>
      <c r="D2405" t="str">
        <f t="shared" si="1969"/>
        <v xml:space="preserve">    "nextInstruction":  "No Yellow",</v>
      </c>
    </row>
    <row r="2406" spans="1:4" x14ac:dyDescent="0.55000000000000004">
      <c r="A2406" t="s">
        <v>765</v>
      </c>
      <c r="B2406" t="str">
        <f>VLOOKUP(B2403,Tabelle3!$A$2:$E$33,4,FALSE)</f>
        <v>""</v>
      </c>
      <c r="D2406" t="str">
        <f t="shared" ref="D2406:D2469" si="1975">IF(ISNUMBER(B2406),(A2406&amp;B2406),"")</f>
        <v/>
      </c>
    </row>
    <row r="2407" spans="1:4" x14ac:dyDescent="0.55000000000000004">
      <c r="A2407" t="s">
        <v>6</v>
      </c>
      <c r="D2407" t="str">
        <f t="shared" ref="D2407:D2470" si="1976">A2407</f>
        <v xml:space="preserve">  },</v>
      </c>
    </row>
    <row r="2408" spans="1:4" x14ac:dyDescent="0.55000000000000004">
      <c r="A2408" t="s">
        <v>410</v>
      </c>
      <c r="D2408" t="str">
        <f t="shared" si="1976"/>
        <v xml:space="preserve">  "34-22": {</v>
      </c>
    </row>
    <row r="2409" spans="1:4" x14ac:dyDescent="0.55000000000000004">
      <c r="A2409" t="s">
        <v>402</v>
      </c>
      <c r="B2409">
        <f t="shared" ref="B2409" si="1977">_xlfn.NUMBERVALUE(RIGHT(A2409,2))</f>
        <v>25</v>
      </c>
      <c r="D2409" t="str">
        <f t="shared" ref="D2409:D2472" si="1978">A2409&amp;","</f>
        <v xml:space="preserve">    "resultPage": 25,</v>
      </c>
    </row>
    <row r="2410" spans="1:4" x14ac:dyDescent="0.55000000000000004">
      <c r="A2410" t="s">
        <v>763</v>
      </c>
      <c r="B2410" t="str">
        <f>VLOOKUP(B2409,Tabelle3!$A$2:$E$33,3,FALSE)</f>
        <v>Kicking</v>
      </c>
      <c r="C2410" t="s">
        <v>762</v>
      </c>
      <c r="D2410" t="str">
        <f t="shared" ref="D2410" si="1979">_xlfn.CONCAT(A2410:C2410)</f>
        <v xml:space="preserve">    "message":  "Kicking",</v>
      </c>
    </row>
    <row r="2411" spans="1:4" x14ac:dyDescent="0.55000000000000004">
      <c r="A2411" t="s">
        <v>764</v>
      </c>
      <c r="B2411" t="str">
        <f>VLOOKUP(B2409,Tabelle3!$A$2:$E$33,5,FALSE)</f>
        <v>No Yellow</v>
      </c>
      <c r="C2411" t="s">
        <v>762</v>
      </c>
      <c r="D2411" t="str">
        <f t="shared" si="1969"/>
        <v xml:space="preserve">    "nextInstruction":  "No Yellow",</v>
      </c>
    </row>
    <row r="2412" spans="1:4" x14ac:dyDescent="0.55000000000000004">
      <c r="A2412" t="s">
        <v>765</v>
      </c>
      <c r="B2412" t="str">
        <f>VLOOKUP(B2409,Tabelle3!$A$2:$E$33,4,FALSE)</f>
        <v>""</v>
      </c>
      <c r="D2412" t="str">
        <f t="shared" ref="D2412:D2475" si="1980">IF(ISNUMBER(B2412),(A2412&amp;B2412),"")</f>
        <v/>
      </c>
    </row>
    <row r="2413" spans="1:4" x14ac:dyDescent="0.55000000000000004">
      <c r="A2413" t="s">
        <v>6</v>
      </c>
      <c r="D2413" t="str">
        <f t="shared" ref="D2413:D2476" si="1981">A2413</f>
        <v xml:space="preserve">  },</v>
      </c>
    </row>
    <row r="2414" spans="1:4" x14ac:dyDescent="0.55000000000000004">
      <c r="A2414" t="s">
        <v>411</v>
      </c>
      <c r="D2414" t="str">
        <f t="shared" si="1981"/>
        <v xml:space="preserve">  "34-24": {</v>
      </c>
    </row>
    <row r="2415" spans="1:4" x14ac:dyDescent="0.55000000000000004">
      <c r="A2415" t="s">
        <v>20</v>
      </c>
      <c r="B2415">
        <f t="shared" ref="B2415" si="1982">_xlfn.NUMBERVALUE(RIGHT(A2415,2))</f>
        <v>53</v>
      </c>
      <c r="D2415" t="str">
        <f t="shared" ref="D2415:D2478" si="1983">A2415&amp;","</f>
        <v xml:space="preserve">    "resultPage": 53,</v>
      </c>
    </row>
    <row r="2416" spans="1:4" x14ac:dyDescent="0.55000000000000004">
      <c r="A2416" t="s">
        <v>763</v>
      </c>
      <c r="B2416" t="str">
        <f>VLOOKUP(B2415,Tabelle3!$A$2:$E$33,3,FALSE)</f>
        <v>Body Wound</v>
      </c>
      <c r="C2416" t="s">
        <v>762</v>
      </c>
      <c r="D2416" t="str">
        <f t="shared" ref="D2416" si="1984">_xlfn.CONCAT(A2416:C2416)</f>
        <v xml:space="preserve">    "message":  "Body Wound",</v>
      </c>
    </row>
    <row r="2417" spans="1:4" x14ac:dyDescent="0.55000000000000004">
      <c r="A2417" t="s">
        <v>764</v>
      </c>
      <c r="B2417" t="str">
        <f>VLOOKUP(B2415,Tabelle3!$A$2:$E$33,5,FALSE)</f>
        <v>No Red No Orange</v>
      </c>
      <c r="C2417" t="s">
        <v>762</v>
      </c>
      <c r="D2417" t="str">
        <f t="shared" si="1969"/>
        <v xml:space="preserve">    "nextInstruction":  "No Red No Orange",</v>
      </c>
    </row>
    <row r="2418" spans="1:4" x14ac:dyDescent="0.55000000000000004">
      <c r="A2418" t="s">
        <v>765</v>
      </c>
      <c r="B2418">
        <f>VLOOKUP(B2415,Tabelle3!$A$2:$E$33,4,FALSE)</f>
        <v>5</v>
      </c>
      <c r="D2418" t="str">
        <f t="shared" ref="D2418:D2481" si="1985">IF(ISNUMBER(B2418),(A2418&amp;B2418),"")</f>
        <v xml:space="preserve">    "damageModifier": 5</v>
      </c>
    </row>
    <row r="2419" spans="1:4" x14ac:dyDescent="0.55000000000000004">
      <c r="A2419" t="s">
        <v>6</v>
      </c>
      <c r="D2419" t="str">
        <f t="shared" ref="D2419:D2482" si="1986">A2419</f>
        <v xml:space="preserve">  },</v>
      </c>
    </row>
    <row r="2420" spans="1:4" x14ac:dyDescent="0.55000000000000004">
      <c r="A2420" t="s">
        <v>412</v>
      </c>
      <c r="D2420" t="str">
        <f t="shared" si="1986"/>
        <v xml:space="preserve">  "34-26": {</v>
      </c>
    </row>
    <row r="2421" spans="1:4" x14ac:dyDescent="0.55000000000000004">
      <c r="A2421" t="s">
        <v>402</v>
      </c>
      <c r="B2421">
        <f t="shared" ref="B2421" si="1987">_xlfn.NUMBERVALUE(RIGHT(A2421,2))</f>
        <v>25</v>
      </c>
      <c r="D2421" t="str">
        <f t="shared" ref="D2421:D2484" si="1988">A2421&amp;","</f>
        <v xml:space="preserve">    "resultPage": 25,</v>
      </c>
    </row>
    <row r="2422" spans="1:4" x14ac:dyDescent="0.55000000000000004">
      <c r="A2422" t="s">
        <v>763</v>
      </c>
      <c r="B2422" t="str">
        <f>VLOOKUP(B2421,Tabelle3!$A$2:$E$33,3,FALSE)</f>
        <v>Kicking</v>
      </c>
      <c r="C2422" t="s">
        <v>762</v>
      </c>
      <c r="D2422" t="str">
        <f t="shared" ref="D2422" si="1989">_xlfn.CONCAT(A2422:C2422)</f>
        <v xml:space="preserve">    "message":  "Kicking",</v>
      </c>
    </row>
    <row r="2423" spans="1:4" x14ac:dyDescent="0.55000000000000004">
      <c r="A2423" t="s">
        <v>764</v>
      </c>
      <c r="B2423" t="str">
        <f>VLOOKUP(B2421,Tabelle3!$A$2:$E$33,5,FALSE)</f>
        <v>No Yellow</v>
      </c>
      <c r="C2423" t="s">
        <v>762</v>
      </c>
      <c r="D2423" t="str">
        <f t="shared" si="1969"/>
        <v xml:space="preserve">    "nextInstruction":  "No Yellow",</v>
      </c>
    </row>
    <row r="2424" spans="1:4" x14ac:dyDescent="0.55000000000000004">
      <c r="A2424" t="s">
        <v>765</v>
      </c>
      <c r="B2424" t="str">
        <f>VLOOKUP(B2421,Tabelle3!$A$2:$E$33,4,FALSE)</f>
        <v>""</v>
      </c>
      <c r="D2424" t="str">
        <f t="shared" ref="D2424:D2487" si="1990">IF(ISNUMBER(B2424),(A2424&amp;B2424),"")</f>
        <v/>
      </c>
    </row>
    <row r="2425" spans="1:4" x14ac:dyDescent="0.55000000000000004">
      <c r="A2425" t="s">
        <v>6</v>
      </c>
      <c r="D2425" t="str">
        <f t="shared" ref="D2425:D2488" si="1991">A2425</f>
        <v xml:space="preserve">  },</v>
      </c>
    </row>
    <row r="2426" spans="1:4" x14ac:dyDescent="0.55000000000000004">
      <c r="A2426" t="s">
        <v>413</v>
      </c>
      <c r="D2426" t="str">
        <f t="shared" si="1991"/>
        <v xml:space="preserve">  "34-28": {</v>
      </c>
    </row>
    <row r="2427" spans="1:4" x14ac:dyDescent="0.55000000000000004">
      <c r="A2427" t="s">
        <v>402</v>
      </c>
      <c r="B2427">
        <f t="shared" ref="B2427" si="1992">_xlfn.NUMBERVALUE(RIGHT(A2427,2))</f>
        <v>25</v>
      </c>
      <c r="D2427" t="str">
        <f t="shared" ref="D2427:D2490" si="1993">A2427&amp;","</f>
        <v xml:space="preserve">    "resultPage": 25,</v>
      </c>
    </row>
    <row r="2428" spans="1:4" x14ac:dyDescent="0.55000000000000004">
      <c r="A2428" t="s">
        <v>763</v>
      </c>
      <c r="B2428" t="str">
        <f>VLOOKUP(B2427,Tabelle3!$A$2:$E$33,3,FALSE)</f>
        <v>Kicking</v>
      </c>
      <c r="C2428" t="s">
        <v>762</v>
      </c>
      <c r="D2428" t="str">
        <f t="shared" ref="D2428" si="1994">_xlfn.CONCAT(A2428:C2428)</f>
        <v xml:space="preserve">    "message":  "Kicking",</v>
      </c>
    </row>
    <row r="2429" spans="1:4" x14ac:dyDescent="0.55000000000000004">
      <c r="A2429" t="s">
        <v>764</v>
      </c>
      <c r="B2429" t="str">
        <f>VLOOKUP(B2427,Tabelle3!$A$2:$E$33,5,FALSE)</f>
        <v>No Yellow</v>
      </c>
      <c r="C2429" t="s">
        <v>762</v>
      </c>
      <c r="D2429" t="str">
        <f t="shared" si="1969"/>
        <v xml:space="preserve">    "nextInstruction":  "No Yellow",</v>
      </c>
    </row>
    <row r="2430" spans="1:4" x14ac:dyDescent="0.55000000000000004">
      <c r="A2430" t="s">
        <v>765</v>
      </c>
      <c r="B2430" t="str">
        <f>VLOOKUP(B2427,Tabelle3!$A$2:$E$33,4,FALSE)</f>
        <v>""</v>
      </c>
      <c r="D2430" t="str">
        <f t="shared" ref="D2430:D2493" si="1995">IF(ISNUMBER(B2430),(A2430&amp;B2430),"")</f>
        <v/>
      </c>
    </row>
    <row r="2431" spans="1:4" x14ac:dyDescent="0.55000000000000004">
      <c r="A2431" t="s">
        <v>6</v>
      </c>
      <c r="D2431" t="str">
        <f t="shared" ref="D2431:D2494" si="1996">A2431</f>
        <v xml:space="preserve">  },</v>
      </c>
    </row>
    <row r="2432" spans="1:4" x14ac:dyDescent="0.55000000000000004">
      <c r="A2432" t="s">
        <v>414</v>
      </c>
      <c r="D2432" t="str">
        <f t="shared" si="1996"/>
        <v xml:space="preserve">  "34-30": {</v>
      </c>
    </row>
    <row r="2433" spans="1:4" x14ac:dyDescent="0.55000000000000004">
      <c r="A2433" t="s">
        <v>402</v>
      </c>
      <c r="B2433">
        <f t="shared" ref="B2433" si="1997">_xlfn.NUMBERVALUE(RIGHT(A2433,2))</f>
        <v>25</v>
      </c>
      <c r="D2433" t="str">
        <f t="shared" ref="D2433:D2496" si="1998">A2433&amp;","</f>
        <v xml:space="preserve">    "resultPage": 25,</v>
      </c>
    </row>
    <row r="2434" spans="1:4" x14ac:dyDescent="0.55000000000000004">
      <c r="A2434" t="s">
        <v>763</v>
      </c>
      <c r="B2434" t="str">
        <f>VLOOKUP(B2433,Tabelle3!$A$2:$E$33,3,FALSE)</f>
        <v>Kicking</v>
      </c>
      <c r="C2434" t="s">
        <v>762</v>
      </c>
      <c r="D2434" t="str">
        <f t="shared" ref="D2434" si="1999">_xlfn.CONCAT(A2434:C2434)</f>
        <v xml:space="preserve">    "message":  "Kicking",</v>
      </c>
    </row>
    <row r="2435" spans="1:4" x14ac:dyDescent="0.55000000000000004">
      <c r="A2435" t="s">
        <v>764</v>
      </c>
      <c r="B2435" t="str">
        <f>VLOOKUP(B2433,Tabelle3!$A$2:$E$33,5,FALSE)</f>
        <v>No Yellow</v>
      </c>
      <c r="C2435" t="s">
        <v>762</v>
      </c>
      <c r="D2435" t="str">
        <f t="shared" si="1969"/>
        <v xml:space="preserve">    "nextInstruction":  "No Yellow",</v>
      </c>
    </row>
    <row r="2436" spans="1:4" x14ac:dyDescent="0.55000000000000004">
      <c r="A2436" t="s">
        <v>765</v>
      </c>
      <c r="B2436" t="str">
        <f>VLOOKUP(B2433,Tabelle3!$A$2:$E$33,4,FALSE)</f>
        <v>""</v>
      </c>
      <c r="D2436" t="str">
        <f t="shared" ref="D2436:D2499" si="2000">IF(ISNUMBER(B2436),(A2436&amp;B2436),"")</f>
        <v/>
      </c>
    </row>
    <row r="2437" spans="1:4" x14ac:dyDescent="0.55000000000000004">
      <c r="A2437" t="s">
        <v>6</v>
      </c>
      <c r="D2437" t="str">
        <f t="shared" ref="D2437:D2500" si="2001">A2437</f>
        <v xml:space="preserve">  },</v>
      </c>
    </row>
    <row r="2438" spans="1:4" x14ac:dyDescent="0.55000000000000004">
      <c r="A2438" t="s">
        <v>415</v>
      </c>
      <c r="D2438" t="str">
        <f t="shared" si="2001"/>
        <v xml:space="preserve">  "34-32": {</v>
      </c>
    </row>
    <row r="2439" spans="1:4" x14ac:dyDescent="0.55000000000000004">
      <c r="A2439" t="s">
        <v>402</v>
      </c>
      <c r="B2439">
        <f t="shared" ref="B2439" si="2002">_xlfn.NUMBERVALUE(RIGHT(A2439,2))</f>
        <v>25</v>
      </c>
      <c r="D2439" t="str">
        <f t="shared" ref="D2439:D2502" si="2003">A2439&amp;","</f>
        <v xml:space="preserve">    "resultPage": 25,</v>
      </c>
    </row>
    <row r="2440" spans="1:4" x14ac:dyDescent="0.55000000000000004">
      <c r="A2440" t="s">
        <v>763</v>
      </c>
      <c r="B2440" t="str">
        <f>VLOOKUP(B2439,Tabelle3!$A$2:$E$33,3,FALSE)</f>
        <v>Kicking</v>
      </c>
      <c r="C2440" t="s">
        <v>762</v>
      </c>
      <c r="D2440" t="str">
        <f t="shared" ref="D2440" si="2004">_xlfn.CONCAT(A2440:C2440)</f>
        <v xml:space="preserve">    "message":  "Kicking",</v>
      </c>
    </row>
    <row r="2441" spans="1:4" x14ac:dyDescent="0.55000000000000004">
      <c r="A2441" t="s">
        <v>764</v>
      </c>
      <c r="B2441" t="str">
        <f>VLOOKUP(B2439,Tabelle3!$A$2:$E$33,5,FALSE)</f>
        <v>No Yellow</v>
      </c>
      <c r="C2441" t="s">
        <v>762</v>
      </c>
      <c r="D2441" t="str">
        <f t="shared" si="1969"/>
        <v xml:space="preserve">    "nextInstruction":  "No Yellow",</v>
      </c>
    </row>
    <row r="2442" spans="1:4" x14ac:dyDescent="0.55000000000000004">
      <c r="A2442" t="s">
        <v>765</v>
      </c>
      <c r="B2442" t="str">
        <f>VLOOKUP(B2439,Tabelle3!$A$2:$E$33,4,FALSE)</f>
        <v>""</v>
      </c>
      <c r="D2442" t="str">
        <f t="shared" ref="D2442:D2505" si="2005">IF(ISNUMBER(B2442),(A2442&amp;B2442),"")</f>
        <v/>
      </c>
    </row>
    <row r="2443" spans="1:4" x14ac:dyDescent="0.55000000000000004">
      <c r="A2443" t="s">
        <v>6</v>
      </c>
      <c r="D2443" t="str">
        <f t="shared" ref="D2443:D2506" si="2006">A2443</f>
        <v xml:space="preserve">  },</v>
      </c>
    </row>
    <row r="2444" spans="1:4" x14ac:dyDescent="0.55000000000000004">
      <c r="A2444" t="s">
        <v>416</v>
      </c>
      <c r="D2444" t="str">
        <f t="shared" si="2006"/>
        <v xml:space="preserve">  "34-34": {</v>
      </c>
    </row>
    <row r="2445" spans="1:4" x14ac:dyDescent="0.55000000000000004">
      <c r="A2445" t="s">
        <v>133</v>
      </c>
      <c r="B2445">
        <f t="shared" ref="B2445" si="2007">_xlfn.NUMBERVALUE(RIGHT(A2445,2))</f>
        <v>51</v>
      </c>
      <c r="D2445" t="str">
        <f t="shared" ref="D2445:D2508" si="2008">A2445&amp;","</f>
        <v xml:space="preserve">    "resultPage": 51,</v>
      </c>
    </row>
    <row r="2446" spans="1:4" x14ac:dyDescent="0.55000000000000004">
      <c r="A2446" t="s">
        <v>763</v>
      </c>
      <c r="B2446" t="str">
        <f>VLOOKUP(B2445,Tabelle3!$A$2:$E$33,3,FALSE)</f>
        <v>Kicked Off Balance</v>
      </c>
      <c r="C2446" t="s">
        <v>762</v>
      </c>
      <c r="D2446" t="str">
        <f t="shared" ref="D2446" si="2009">_xlfn.CONCAT(A2446:C2446)</f>
        <v xml:space="preserve">    "message":  "Kicked Off Balance",</v>
      </c>
    </row>
    <row r="2447" spans="1:4" x14ac:dyDescent="0.55000000000000004">
      <c r="A2447" t="s">
        <v>764</v>
      </c>
      <c r="B2447" t="str">
        <f>VLOOKUP(B2445,Tabelle3!$A$2:$E$33,5,FALSE)</f>
        <v>Only Green Only Yellow</v>
      </c>
      <c r="C2447" t="s">
        <v>762</v>
      </c>
      <c r="D2447" t="str">
        <f t="shared" si="1969"/>
        <v xml:space="preserve">    "nextInstruction":  "Only Green Only Yellow",</v>
      </c>
    </row>
    <row r="2448" spans="1:4" x14ac:dyDescent="0.55000000000000004">
      <c r="A2448" t="s">
        <v>765</v>
      </c>
      <c r="B2448">
        <f>VLOOKUP(B2445,Tabelle3!$A$2:$E$33,4,FALSE)</f>
        <v>0</v>
      </c>
      <c r="D2448" t="str">
        <f t="shared" ref="D2448:D2511" si="2010">IF(ISNUMBER(B2448),(A2448&amp;B2448),"")</f>
        <v xml:space="preserve">    "damageModifier": 0</v>
      </c>
    </row>
    <row r="2449" spans="1:4" x14ac:dyDescent="0.55000000000000004">
      <c r="A2449" t="s">
        <v>6</v>
      </c>
      <c r="D2449" t="str">
        <f t="shared" ref="D2449:D2512" si="2011">A2449</f>
        <v xml:space="preserve">  },</v>
      </c>
    </row>
    <row r="2450" spans="1:4" x14ac:dyDescent="0.55000000000000004">
      <c r="A2450" t="s">
        <v>417</v>
      </c>
      <c r="D2450" t="str">
        <f t="shared" si="2011"/>
        <v xml:space="preserve">  "34-36": {</v>
      </c>
    </row>
    <row r="2451" spans="1:4" x14ac:dyDescent="0.55000000000000004">
      <c r="A2451" t="s">
        <v>23</v>
      </c>
      <c r="B2451">
        <f t="shared" ref="B2451" si="2012">_xlfn.NUMBERVALUE(RIGHT(A2451,2))</f>
        <v>7</v>
      </c>
      <c r="D2451" t="str">
        <f t="shared" ref="D2451:D2514" si="2013">A2451&amp;","</f>
        <v xml:space="preserve">    "resultPage": 7,</v>
      </c>
    </row>
    <row r="2452" spans="1:4" x14ac:dyDescent="0.55000000000000004">
      <c r="A2452" t="s">
        <v>763</v>
      </c>
      <c r="B2452" t="str">
        <f>VLOOKUP(B2451,Tabelle3!$A$2:$E$33,3,FALSE)</f>
        <v>Dazed</v>
      </c>
      <c r="C2452" t="s">
        <v>762</v>
      </c>
      <c r="D2452" t="str">
        <f t="shared" ref="D2452" si="2014">_xlfn.CONCAT(A2452:C2452)</f>
        <v xml:space="preserve">    "message":  "Dazed",</v>
      </c>
    </row>
    <row r="2453" spans="1:4" x14ac:dyDescent="0.55000000000000004">
      <c r="A2453" t="s">
        <v>764</v>
      </c>
      <c r="B2453" t="str">
        <f>VLOOKUP(B2451,Tabelle3!$A$2:$E$33,5,FALSE)</f>
        <v>Only Green Only Yellow</v>
      </c>
      <c r="C2453" t="s">
        <v>762</v>
      </c>
      <c r="D2453" t="str">
        <f t="shared" si="1969"/>
        <v xml:space="preserve">    "nextInstruction":  "Only Green Only Yellow",</v>
      </c>
    </row>
    <row r="2454" spans="1:4" x14ac:dyDescent="0.55000000000000004">
      <c r="A2454" t="s">
        <v>765</v>
      </c>
      <c r="B2454">
        <f>VLOOKUP(B2451,Tabelle3!$A$2:$E$33,4,FALSE)</f>
        <v>7</v>
      </c>
      <c r="D2454" t="str">
        <f t="shared" ref="D2454:D2517" si="2015">IF(ISNUMBER(B2454),(A2454&amp;B2454),"")</f>
        <v xml:space="preserve">    "damageModifier": 7</v>
      </c>
    </row>
    <row r="2455" spans="1:4" x14ac:dyDescent="0.55000000000000004">
      <c r="A2455" t="s">
        <v>6</v>
      </c>
      <c r="D2455" t="str">
        <f t="shared" ref="D2455:D2518" si="2016">A2455</f>
        <v xml:space="preserve">  },</v>
      </c>
    </row>
    <row r="2456" spans="1:4" x14ac:dyDescent="0.55000000000000004">
      <c r="A2456" t="s">
        <v>418</v>
      </c>
      <c r="D2456" t="str">
        <f t="shared" si="2016"/>
        <v xml:space="preserve">  "34-38": {</v>
      </c>
    </row>
    <row r="2457" spans="1:4" x14ac:dyDescent="0.55000000000000004">
      <c r="A2457" t="s">
        <v>402</v>
      </c>
      <c r="B2457">
        <f t="shared" ref="B2457" si="2017">_xlfn.NUMBERVALUE(RIGHT(A2457,2))</f>
        <v>25</v>
      </c>
      <c r="D2457" t="str">
        <f t="shared" ref="D2457:D2520" si="2018">A2457&amp;","</f>
        <v xml:space="preserve">    "resultPage": 25,</v>
      </c>
    </row>
    <row r="2458" spans="1:4" x14ac:dyDescent="0.55000000000000004">
      <c r="A2458" t="s">
        <v>763</v>
      </c>
      <c r="B2458" t="str">
        <f>VLOOKUP(B2457,Tabelle3!$A$2:$E$33,3,FALSE)</f>
        <v>Kicking</v>
      </c>
      <c r="C2458" t="s">
        <v>762</v>
      </c>
      <c r="D2458" t="str">
        <f t="shared" ref="D2458" si="2019">_xlfn.CONCAT(A2458:C2458)</f>
        <v xml:space="preserve">    "message":  "Kicking",</v>
      </c>
    </row>
    <row r="2459" spans="1:4" x14ac:dyDescent="0.55000000000000004">
      <c r="A2459" t="s">
        <v>764</v>
      </c>
      <c r="B2459" t="str">
        <f>VLOOKUP(B2457,Tabelle3!$A$2:$E$33,5,FALSE)</f>
        <v>No Yellow</v>
      </c>
      <c r="C2459" t="s">
        <v>762</v>
      </c>
      <c r="D2459" t="str">
        <f t="shared" si="1969"/>
        <v xml:space="preserve">    "nextInstruction":  "No Yellow",</v>
      </c>
    </row>
    <row r="2460" spans="1:4" x14ac:dyDescent="0.55000000000000004">
      <c r="A2460" t="s">
        <v>765</v>
      </c>
      <c r="B2460" t="str">
        <f>VLOOKUP(B2457,Tabelle3!$A$2:$E$33,4,FALSE)</f>
        <v>""</v>
      </c>
      <c r="D2460" t="str">
        <f t="shared" ref="D2460:D2523" si="2020">IF(ISNUMBER(B2460),(A2460&amp;B2460),"")</f>
        <v/>
      </c>
    </row>
    <row r="2461" spans="1:4" x14ac:dyDescent="0.55000000000000004">
      <c r="A2461" t="s">
        <v>6</v>
      </c>
      <c r="D2461" t="str">
        <f t="shared" ref="D2461:D2524" si="2021">A2461</f>
        <v xml:space="preserve">  },</v>
      </c>
    </row>
    <row r="2462" spans="1:4" x14ac:dyDescent="0.55000000000000004">
      <c r="A2462" t="s">
        <v>419</v>
      </c>
      <c r="D2462" t="str">
        <f t="shared" si="2021"/>
        <v xml:space="preserve">  "34-40": {</v>
      </c>
    </row>
    <row r="2463" spans="1:4" x14ac:dyDescent="0.55000000000000004">
      <c r="A2463" t="s">
        <v>402</v>
      </c>
      <c r="B2463">
        <f t="shared" ref="B2463" si="2022">_xlfn.NUMBERVALUE(RIGHT(A2463,2))</f>
        <v>25</v>
      </c>
      <c r="D2463" t="str">
        <f t="shared" ref="D2463:D2526" si="2023">A2463&amp;","</f>
        <v xml:space="preserve">    "resultPage": 25,</v>
      </c>
    </row>
    <row r="2464" spans="1:4" x14ac:dyDescent="0.55000000000000004">
      <c r="A2464" t="s">
        <v>763</v>
      </c>
      <c r="B2464" t="str">
        <f>VLOOKUP(B2463,Tabelle3!$A$2:$E$33,3,FALSE)</f>
        <v>Kicking</v>
      </c>
      <c r="C2464" t="s">
        <v>762</v>
      </c>
      <c r="D2464" t="str">
        <f t="shared" ref="D2464:D2525" si="2024">_xlfn.CONCAT(A2464:C2464)</f>
        <v xml:space="preserve">    "message":  "Kicking",</v>
      </c>
    </row>
    <row r="2465" spans="1:4" x14ac:dyDescent="0.55000000000000004">
      <c r="A2465" t="s">
        <v>764</v>
      </c>
      <c r="B2465" t="str">
        <f>VLOOKUP(B2463,Tabelle3!$A$2:$E$33,5,FALSE)</f>
        <v>No Yellow</v>
      </c>
      <c r="C2465" t="s">
        <v>762</v>
      </c>
      <c r="D2465" t="str">
        <f t="shared" si="2024"/>
        <v xml:space="preserve">    "nextInstruction":  "No Yellow",</v>
      </c>
    </row>
    <row r="2466" spans="1:4" x14ac:dyDescent="0.55000000000000004">
      <c r="A2466" t="s">
        <v>765</v>
      </c>
      <c r="B2466" t="str">
        <f>VLOOKUP(B2463,Tabelle3!$A$2:$E$33,4,FALSE)</f>
        <v>""</v>
      </c>
      <c r="D2466" t="str">
        <f t="shared" ref="D2466:D2529" si="2025">IF(ISNUMBER(B2466),(A2466&amp;B2466),"")</f>
        <v/>
      </c>
    </row>
    <row r="2467" spans="1:4" x14ac:dyDescent="0.55000000000000004">
      <c r="A2467" t="s">
        <v>6</v>
      </c>
      <c r="D2467" t="str">
        <f t="shared" ref="D2467:D2530" si="2026">A2467</f>
        <v xml:space="preserve">  },</v>
      </c>
    </row>
    <row r="2468" spans="1:4" x14ac:dyDescent="0.55000000000000004">
      <c r="A2468" t="s">
        <v>420</v>
      </c>
      <c r="D2468" t="str">
        <f t="shared" si="2026"/>
        <v xml:space="preserve">  "34-42": {</v>
      </c>
    </row>
    <row r="2469" spans="1:4" x14ac:dyDescent="0.55000000000000004">
      <c r="A2469" t="s">
        <v>47</v>
      </c>
      <c r="B2469">
        <f t="shared" ref="B2469" si="2027">_xlfn.NUMBERVALUE(RIGHT(A2469,2))</f>
        <v>41</v>
      </c>
      <c r="D2469" t="str">
        <f t="shared" ref="D2469:D2532" si="2028">A2469&amp;","</f>
        <v xml:space="preserve">    "resultPage": 41,</v>
      </c>
    </row>
    <row r="2470" spans="1:4" x14ac:dyDescent="0.55000000000000004">
      <c r="A2470" t="s">
        <v>763</v>
      </c>
      <c r="B2470" t="str">
        <f>VLOOKUP(B2469,Tabelle3!$A$2:$E$33,3,FALSE)</f>
        <v>Knocked Down</v>
      </c>
      <c r="C2470" t="s">
        <v>762</v>
      </c>
      <c r="D2470" t="str">
        <f t="shared" ref="D2470" si="2029">_xlfn.CONCAT(A2470:C2470)</f>
        <v xml:space="preserve">    "message":  "Knocked Down",</v>
      </c>
    </row>
    <row r="2471" spans="1:4" x14ac:dyDescent="0.55000000000000004">
      <c r="A2471" t="s">
        <v>764</v>
      </c>
      <c r="B2471" t="str">
        <f>VLOOKUP(B2469,Tabelle3!$A$2:$E$33,5,FALSE)</f>
        <v>Only Yellow No Orange</v>
      </c>
      <c r="C2471" t="s">
        <v>762</v>
      </c>
      <c r="D2471" t="str">
        <f t="shared" si="2024"/>
        <v xml:space="preserve">    "nextInstruction":  "Only Yellow No Orange",</v>
      </c>
    </row>
    <row r="2472" spans="1:4" x14ac:dyDescent="0.55000000000000004">
      <c r="A2472" t="s">
        <v>765</v>
      </c>
      <c r="B2472">
        <f>VLOOKUP(B2469,Tabelle3!$A$2:$E$33,4,FALSE)</f>
        <v>0</v>
      </c>
      <c r="D2472" t="str">
        <f t="shared" ref="D2472:D2535" si="2030">IF(ISNUMBER(B2472),(A2472&amp;B2472),"")</f>
        <v xml:space="preserve">    "damageModifier": 0</v>
      </c>
    </row>
    <row r="2473" spans="1:4" x14ac:dyDescent="0.55000000000000004">
      <c r="A2473" t="s">
        <v>6</v>
      </c>
      <c r="D2473" t="str">
        <f t="shared" ref="D2473:D2536" si="2031">A2473</f>
        <v xml:space="preserve">  },</v>
      </c>
    </row>
    <row r="2474" spans="1:4" x14ac:dyDescent="0.55000000000000004">
      <c r="A2474" t="s">
        <v>421</v>
      </c>
      <c r="D2474" t="str">
        <f t="shared" si="2031"/>
        <v xml:space="preserve">  "34-44": {</v>
      </c>
    </row>
    <row r="2475" spans="1:4" x14ac:dyDescent="0.55000000000000004">
      <c r="A2475" t="s">
        <v>58</v>
      </c>
      <c r="B2475">
        <f t="shared" ref="B2475" si="2032">_xlfn.NUMBERVALUE(RIGHT(A2475,2))</f>
        <v>19</v>
      </c>
      <c r="D2475" t="str">
        <f t="shared" ref="D2475:D2538" si="2033">A2475&amp;","</f>
        <v xml:space="preserve">    "resultPage": 19,</v>
      </c>
    </row>
    <row r="2476" spans="1:4" x14ac:dyDescent="0.55000000000000004">
      <c r="A2476" t="s">
        <v>763</v>
      </c>
      <c r="B2476" t="str">
        <f>VLOOKUP(B2475,Tabelle3!$A$2:$E$33,3,FALSE)</f>
        <v>Struck off Balance</v>
      </c>
      <c r="C2476" t="s">
        <v>762</v>
      </c>
      <c r="D2476" t="str">
        <f t="shared" ref="D2476" si="2034">_xlfn.CONCAT(A2476:C2476)</f>
        <v xml:space="preserve">    "message":  "Struck off Balance",</v>
      </c>
    </row>
    <row r="2477" spans="1:4" x14ac:dyDescent="0.55000000000000004">
      <c r="A2477" t="s">
        <v>764</v>
      </c>
      <c r="B2477" t="str">
        <f>VLOOKUP(B2475,Tabelle3!$A$2:$E$33,5,FALSE)</f>
        <v>Only Green Only Yellow</v>
      </c>
      <c r="C2477" t="s">
        <v>762</v>
      </c>
      <c r="D2477" t="str">
        <f t="shared" si="2024"/>
        <v xml:space="preserve">    "nextInstruction":  "Only Green Only Yellow",</v>
      </c>
    </row>
    <row r="2478" spans="1:4" x14ac:dyDescent="0.55000000000000004">
      <c r="A2478" t="s">
        <v>765</v>
      </c>
      <c r="B2478">
        <f>VLOOKUP(B2475,Tabelle3!$A$2:$E$33,4,FALSE)</f>
        <v>0</v>
      </c>
      <c r="D2478" t="str">
        <f t="shared" ref="D2478:D2541" si="2035">IF(ISNUMBER(B2478),(A2478&amp;B2478),"")</f>
        <v xml:space="preserve">    "damageModifier": 0</v>
      </c>
    </row>
    <row r="2479" spans="1:4" x14ac:dyDescent="0.55000000000000004">
      <c r="A2479" t="s">
        <v>6</v>
      </c>
      <c r="D2479" t="str">
        <f t="shared" ref="D2479:D2542" si="2036">A2479</f>
        <v xml:space="preserve">  },</v>
      </c>
    </row>
    <row r="2480" spans="1:4" x14ac:dyDescent="0.55000000000000004">
      <c r="A2480" t="s">
        <v>422</v>
      </c>
      <c r="D2480" t="str">
        <f t="shared" si="2036"/>
        <v xml:space="preserve">  "34-46": {</v>
      </c>
    </row>
    <row r="2481" spans="1:4" x14ac:dyDescent="0.55000000000000004">
      <c r="A2481" t="s">
        <v>402</v>
      </c>
      <c r="B2481">
        <f t="shared" ref="B2481" si="2037">_xlfn.NUMBERVALUE(RIGHT(A2481,2))</f>
        <v>25</v>
      </c>
      <c r="D2481" t="str">
        <f t="shared" ref="D2481:D2544" si="2038">A2481&amp;","</f>
        <v xml:space="preserve">    "resultPage": 25,</v>
      </c>
    </row>
    <row r="2482" spans="1:4" x14ac:dyDescent="0.55000000000000004">
      <c r="A2482" t="s">
        <v>763</v>
      </c>
      <c r="B2482" t="str">
        <f>VLOOKUP(B2481,Tabelle3!$A$2:$E$33,3,FALSE)</f>
        <v>Kicking</v>
      </c>
      <c r="C2482" t="s">
        <v>762</v>
      </c>
      <c r="D2482" t="str">
        <f t="shared" ref="D2482" si="2039">_xlfn.CONCAT(A2482:C2482)</f>
        <v xml:space="preserve">    "message":  "Kicking",</v>
      </c>
    </row>
    <row r="2483" spans="1:4" x14ac:dyDescent="0.55000000000000004">
      <c r="A2483" t="s">
        <v>764</v>
      </c>
      <c r="B2483" t="str">
        <f>VLOOKUP(B2481,Tabelle3!$A$2:$E$33,5,FALSE)</f>
        <v>No Yellow</v>
      </c>
      <c r="C2483" t="s">
        <v>762</v>
      </c>
      <c r="D2483" t="str">
        <f t="shared" si="2024"/>
        <v xml:space="preserve">    "nextInstruction":  "No Yellow",</v>
      </c>
    </row>
    <row r="2484" spans="1:4" x14ac:dyDescent="0.55000000000000004">
      <c r="A2484" t="s">
        <v>765</v>
      </c>
      <c r="B2484" t="str">
        <f>VLOOKUP(B2481,Tabelle3!$A$2:$E$33,4,FALSE)</f>
        <v>""</v>
      </c>
      <c r="D2484" t="str">
        <f t="shared" ref="D2484:D2547" si="2040">IF(ISNUMBER(B2484),(A2484&amp;B2484),"")</f>
        <v/>
      </c>
    </row>
    <row r="2485" spans="1:4" x14ac:dyDescent="0.55000000000000004">
      <c r="A2485" t="s">
        <v>6</v>
      </c>
      <c r="D2485" t="str">
        <f t="shared" ref="D2485:D2548" si="2041">A2485</f>
        <v xml:space="preserve">  },</v>
      </c>
    </row>
    <row r="2486" spans="1:4" x14ac:dyDescent="0.55000000000000004">
      <c r="A2486" t="s">
        <v>423</v>
      </c>
      <c r="D2486" t="str">
        <f t="shared" si="2041"/>
        <v xml:space="preserve">  "34-48": {</v>
      </c>
    </row>
    <row r="2487" spans="1:4" x14ac:dyDescent="0.55000000000000004">
      <c r="A2487" t="s">
        <v>402</v>
      </c>
      <c r="B2487">
        <f t="shared" ref="B2487" si="2042">_xlfn.NUMBERVALUE(RIGHT(A2487,2))</f>
        <v>25</v>
      </c>
      <c r="D2487" t="str">
        <f t="shared" ref="D2487:D2550" si="2043">A2487&amp;","</f>
        <v xml:space="preserve">    "resultPage": 25,</v>
      </c>
    </row>
    <row r="2488" spans="1:4" x14ac:dyDescent="0.55000000000000004">
      <c r="A2488" t="s">
        <v>763</v>
      </c>
      <c r="B2488" t="str">
        <f>VLOOKUP(B2487,Tabelle3!$A$2:$E$33,3,FALSE)</f>
        <v>Kicking</v>
      </c>
      <c r="C2488" t="s">
        <v>762</v>
      </c>
      <c r="D2488" t="str">
        <f t="shared" ref="D2488" si="2044">_xlfn.CONCAT(A2488:C2488)</f>
        <v xml:space="preserve">    "message":  "Kicking",</v>
      </c>
    </row>
    <row r="2489" spans="1:4" x14ac:dyDescent="0.55000000000000004">
      <c r="A2489" t="s">
        <v>764</v>
      </c>
      <c r="B2489" t="str">
        <f>VLOOKUP(B2487,Tabelle3!$A$2:$E$33,5,FALSE)</f>
        <v>No Yellow</v>
      </c>
      <c r="C2489" t="s">
        <v>762</v>
      </c>
      <c r="D2489" t="str">
        <f t="shared" si="2024"/>
        <v xml:space="preserve">    "nextInstruction":  "No Yellow",</v>
      </c>
    </row>
    <row r="2490" spans="1:4" x14ac:dyDescent="0.55000000000000004">
      <c r="A2490" t="s">
        <v>765</v>
      </c>
      <c r="B2490" t="str">
        <f>VLOOKUP(B2487,Tabelle3!$A$2:$E$33,4,FALSE)</f>
        <v>""</v>
      </c>
      <c r="D2490" t="str">
        <f t="shared" ref="D2490:D2553" si="2045">IF(ISNUMBER(B2490),(A2490&amp;B2490),"")</f>
        <v/>
      </c>
    </row>
    <row r="2491" spans="1:4" x14ac:dyDescent="0.55000000000000004">
      <c r="A2491" t="s">
        <v>6</v>
      </c>
      <c r="D2491" t="str">
        <f t="shared" ref="D2491:D2554" si="2046">A2491</f>
        <v xml:space="preserve">  },</v>
      </c>
    </row>
    <row r="2492" spans="1:4" x14ac:dyDescent="0.55000000000000004">
      <c r="A2492" t="s">
        <v>424</v>
      </c>
      <c r="D2492" t="str">
        <f t="shared" si="2046"/>
        <v xml:space="preserve">  "36-4": {</v>
      </c>
    </row>
    <row r="2493" spans="1:4" x14ac:dyDescent="0.55000000000000004">
      <c r="A2493" t="s">
        <v>285</v>
      </c>
      <c r="B2493">
        <f t="shared" ref="B2493" si="2047">_xlfn.NUMBERVALUE(RIGHT(A2493,2))</f>
        <v>15</v>
      </c>
      <c r="D2493" t="str">
        <f t="shared" ref="D2493:D2556" si="2048">A2493&amp;","</f>
        <v xml:space="preserve">    "resultPage": 15,</v>
      </c>
    </row>
    <row r="2494" spans="1:4" x14ac:dyDescent="0.55000000000000004">
      <c r="A2494" t="s">
        <v>763</v>
      </c>
      <c r="B2494" t="str">
        <f>VLOOKUP(B2493,Tabelle3!$A$2:$E$33,3,FALSE)</f>
        <v>Swinging Down</v>
      </c>
      <c r="C2494" t="s">
        <v>762</v>
      </c>
      <c r="D2494" t="str">
        <f t="shared" ref="D2494" si="2049">_xlfn.CONCAT(A2494:C2494)</f>
        <v xml:space="preserve">    "message":  "Swinging Down",</v>
      </c>
    </row>
    <row r="2495" spans="1:4" x14ac:dyDescent="0.55000000000000004">
      <c r="A2495" t="s">
        <v>764</v>
      </c>
      <c r="B2495" t="str">
        <f>VLOOKUP(B2493,Tabelle3!$A$2:$E$33,5,FALSE)</f>
        <v/>
      </c>
      <c r="C2495" t="s">
        <v>762</v>
      </c>
      <c r="D2495" t="str">
        <f t="shared" si="2024"/>
        <v xml:space="preserve">    "nextInstruction":  "",</v>
      </c>
    </row>
    <row r="2496" spans="1:4" x14ac:dyDescent="0.55000000000000004">
      <c r="A2496" t="s">
        <v>765</v>
      </c>
      <c r="B2496" t="str">
        <f>VLOOKUP(B2493,Tabelle3!$A$2:$E$33,4,FALSE)</f>
        <v>""</v>
      </c>
      <c r="D2496" t="str">
        <f t="shared" ref="D2496:D2559" si="2050">IF(ISNUMBER(B2496),(A2496&amp;B2496),"")</f>
        <v/>
      </c>
    </row>
    <row r="2497" spans="1:4" x14ac:dyDescent="0.55000000000000004">
      <c r="A2497" t="s">
        <v>6</v>
      </c>
      <c r="D2497" t="str">
        <f t="shared" ref="D2497:D2560" si="2051">A2497</f>
        <v xml:space="preserve">  },</v>
      </c>
    </row>
    <row r="2498" spans="1:4" x14ac:dyDescent="0.55000000000000004">
      <c r="A2498" t="s">
        <v>425</v>
      </c>
      <c r="D2498" t="str">
        <f t="shared" si="2051"/>
        <v xml:space="preserve">  "36-6": {</v>
      </c>
    </row>
    <row r="2499" spans="1:4" x14ac:dyDescent="0.55000000000000004">
      <c r="A2499" t="s">
        <v>285</v>
      </c>
      <c r="B2499">
        <f t="shared" ref="B2499" si="2052">_xlfn.NUMBERVALUE(RIGHT(A2499,2))</f>
        <v>15</v>
      </c>
      <c r="D2499" t="str">
        <f t="shared" ref="D2499:D2562" si="2053">A2499&amp;","</f>
        <v xml:space="preserve">    "resultPage": 15,</v>
      </c>
    </row>
    <row r="2500" spans="1:4" x14ac:dyDescent="0.55000000000000004">
      <c r="A2500" t="s">
        <v>763</v>
      </c>
      <c r="B2500" t="str">
        <f>VLOOKUP(B2499,Tabelle3!$A$2:$E$33,3,FALSE)</f>
        <v>Swinging Down</v>
      </c>
      <c r="C2500" t="s">
        <v>762</v>
      </c>
      <c r="D2500" t="str">
        <f t="shared" ref="D2500" si="2054">_xlfn.CONCAT(A2500:C2500)</f>
        <v xml:space="preserve">    "message":  "Swinging Down",</v>
      </c>
    </row>
    <row r="2501" spans="1:4" x14ac:dyDescent="0.55000000000000004">
      <c r="A2501" t="s">
        <v>764</v>
      </c>
      <c r="B2501" t="str">
        <f>VLOOKUP(B2499,Tabelle3!$A$2:$E$33,5,FALSE)</f>
        <v/>
      </c>
      <c r="C2501" t="s">
        <v>762</v>
      </c>
      <c r="D2501" t="str">
        <f t="shared" si="2024"/>
        <v xml:space="preserve">    "nextInstruction":  "",</v>
      </c>
    </row>
    <row r="2502" spans="1:4" x14ac:dyDescent="0.55000000000000004">
      <c r="A2502" t="s">
        <v>765</v>
      </c>
      <c r="B2502" t="str">
        <f>VLOOKUP(B2499,Tabelle3!$A$2:$E$33,4,FALSE)</f>
        <v>""</v>
      </c>
      <c r="D2502" t="str">
        <f t="shared" ref="D2502:D2565" si="2055">IF(ISNUMBER(B2502),(A2502&amp;B2502),"")</f>
        <v/>
      </c>
    </row>
    <row r="2503" spans="1:4" x14ac:dyDescent="0.55000000000000004">
      <c r="A2503" t="s">
        <v>6</v>
      </c>
      <c r="D2503" t="str">
        <f t="shared" ref="D2503:D2566" si="2056">A2503</f>
        <v xml:space="preserve">  },</v>
      </c>
    </row>
    <row r="2504" spans="1:4" x14ac:dyDescent="0.55000000000000004">
      <c r="A2504" t="s">
        <v>426</v>
      </c>
      <c r="D2504" t="str">
        <f t="shared" si="2056"/>
        <v xml:space="preserve">  "36-8": {</v>
      </c>
    </row>
    <row r="2505" spans="1:4" x14ac:dyDescent="0.55000000000000004">
      <c r="A2505" t="s">
        <v>285</v>
      </c>
      <c r="B2505">
        <f t="shared" ref="B2505" si="2057">_xlfn.NUMBERVALUE(RIGHT(A2505,2))</f>
        <v>15</v>
      </c>
      <c r="D2505" t="str">
        <f t="shared" ref="D2505:D2568" si="2058">A2505&amp;","</f>
        <v xml:space="preserve">    "resultPage": 15,</v>
      </c>
    </row>
    <row r="2506" spans="1:4" x14ac:dyDescent="0.55000000000000004">
      <c r="A2506" t="s">
        <v>763</v>
      </c>
      <c r="B2506" t="str">
        <f>VLOOKUP(B2505,Tabelle3!$A$2:$E$33,3,FALSE)</f>
        <v>Swinging Down</v>
      </c>
      <c r="C2506" t="s">
        <v>762</v>
      </c>
      <c r="D2506" t="str">
        <f t="shared" ref="D2506" si="2059">_xlfn.CONCAT(A2506:C2506)</f>
        <v xml:space="preserve">    "message":  "Swinging Down",</v>
      </c>
    </row>
    <row r="2507" spans="1:4" x14ac:dyDescent="0.55000000000000004">
      <c r="A2507" t="s">
        <v>764</v>
      </c>
      <c r="B2507" t="str">
        <f>VLOOKUP(B2505,Tabelle3!$A$2:$E$33,5,FALSE)</f>
        <v/>
      </c>
      <c r="C2507" t="s">
        <v>762</v>
      </c>
      <c r="D2507" t="str">
        <f t="shared" si="2024"/>
        <v xml:space="preserve">    "nextInstruction":  "",</v>
      </c>
    </row>
    <row r="2508" spans="1:4" x14ac:dyDescent="0.55000000000000004">
      <c r="A2508" t="s">
        <v>765</v>
      </c>
      <c r="B2508" t="str">
        <f>VLOOKUP(B2505,Tabelle3!$A$2:$E$33,4,FALSE)</f>
        <v>""</v>
      </c>
      <c r="D2508" t="str">
        <f t="shared" ref="D2508:D2571" si="2060">IF(ISNUMBER(B2508),(A2508&amp;B2508),"")</f>
        <v/>
      </c>
    </row>
    <row r="2509" spans="1:4" x14ac:dyDescent="0.55000000000000004">
      <c r="A2509" t="s">
        <v>6</v>
      </c>
      <c r="D2509" t="str">
        <f t="shared" ref="D2509:D2572" si="2061">A2509</f>
        <v xml:space="preserve">  },</v>
      </c>
    </row>
    <row r="2510" spans="1:4" x14ac:dyDescent="0.55000000000000004">
      <c r="A2510" t="s">
        <v>427</v>
      </c>
      <c r="D2510" t="str">
        <f t="shared" si="2061"/>
        <v xml:space="preserve">  "36-10": {</v>
      </c>
    </row>
    <row r="2511" spans="1:4" x14ac:dyDescent="0.55000000000000004">
      <c r="A2511" t="s">
        <v>10</v>
      </c>
      <c r="B2511">
        <f t="shared" ref="B2511" si="2062">_xlfn.NUMBERVALUE(RIGHT(A2511,2))</f>
        <v>31</v>
      </c>
      <c r="D2511" t="str">
        <f t="shared" ref="D2511:D2574" si="2063">A2511&amp;","</f>
        <v xml:space="preserve">    "resultPage": 31,</v>
      </c>
    </row>
    <row r="2512" spans="1:4" x14ac:dyDescent="0.55000000000000004">
      <c r="A2512" t="s">
        <v>763</v>
      </c>
      <c r="B2512" t="str">
        <f>VLOOKUP(B2511,Tabelle3!$A$2:$E$33,3,FALSE)</f>
        <v>Arm Wound</v>
      </c>
      <c r="C2512" t="s">
        <v>762</v>
      </c>
      <c r="D2512" t="str">
        <f t="shared" ref="D2512" si="2064">_xlfn.CONCAT(A2512:C2512)</f>
        <v xml:space="preserve">    "message":  "Arm Wound",</v>
      </c>
    </row>
    <row r="2513" spans="1:4" x14ac:dyDescent="0.55000000000000004">
      <c r="A2513" t="s">
        <v>764</v>
      </c>
      <c r="B2513" t="str">
        <f>VLOOKUP(B2511,Tabelle3!$A$2:$E$33,5,FALSE)</f>
        <v>No Orange</v>
      </c>
      <c r="C2513" t="s">
        <v>762</v>
      </c>
      <c r="D2513" t="str">
        <f t="shared" si="2024"/>
        <v xml:space="preserve">    "nextInstruction":  "No Orange",</v>
      </c>
    </row>
    <row r="2514" spans="1:4" x14ac:dyDescent="0.55000000000000004">
      <c r="A2514" t="s">
        <v>765</v>
      </c>
      <c r="B2514">
        <f>VLOOKUP(B2511,Tabelle3!$A$2:$E$33,4,FALSE)</f>
        <v>3</v>
      </c>
      <c r="D2514" t="str">
        <f t="shared" ref="D2514:D2577" si="2065">IF(ISNUMBER(B2514),(A2514&amp;B2514),"")</f>
        <v xml:space="preserve">    "damageModifier": 3</v>
      </c>
    </row>
    <row r="2515" spans="1:4" x14ac:dyDescent="0.55000000000000004">
      <c r="A2515" t="s">
        <v>6</v>
      </c>
      <c r="D2515" t="str">
        <f t="shared" ref="D2515:D2578" si="2066">A2515</f>
        <v xml:space="preserve">  },</v>
      </c>
    </row>
    <row r="2516" spans="1:4" x14ac:dyDescent="0.55000000000000004">
      <c r="A2516" t="s">
        <v>428</v>
      </c>
      <c r="D2516" t="str">
        <f t="shared" si="2066"/>
        <v xml:space="preserve">  "36-12": {</v>
      </c>
    </row>
    <row r="2517" spans="1:4" x14ac:dyDescent="0.55000000000000004">
      <c r="A2517" t="s">
        <v>10</v>
      </c>
      <c r="B2517">
        <f t="shared" ref="B2517" si="2067">_xlfn.NUMBERVALUE(RIGHT(A2517,2))</f>
        <v>31</v>
      </c>
      <c r="D2517" t="str">
        <f t="shared" ref="D2517:D2580" si="2068">A2517&amp;","</f>
        <v xml:space="preserve">    "resultPage": 31,</v>
      </c>
    </row>
    <row r="2518" spans="1:4" x14ac:dyDescent="0.55000000000000004">
      <c r="A2518" t="s">
        <v>763</v>
      </c>
      <c r="B2518" t="str">
        <f>VLOOKUP(B2517,Tabelle3!$A$2:$E$33,3,FALSE)</f>
        <v>Arm Wound</v>
      </c>
      <c r="C2518" t="s">
        <v>762</v>
      </c>
      <c r="D2518" t="str">
        <f t="shared" ref="D2518" si="2069">_xlfn.CONCAT(A2518:C2518)</f>
        <v xml:space="preserve">    "message":  "Arm Wound",</v>
      </c>
    </row>
    <row r="2519" spans="1:4" x14ac:dyDescent="0.55000000000000004">
      <c r="A2519" t="s">
        <v>764</v>
      </c>
      <c r="B2519" t="str">
        <f>VLOOKUP(B2517,Tabelle3!$A$2:$E$33,5,FALSE)</f>
        <v>No Orange</v>
      </c>
      <c r="C2519" t="s">
        <v>762</v>
      </c>
      <c r="D2519" t="str">
        <f t="shared" si="2024"/>
        <v xml:space="preserve">    "nextInstruction":  "No Orange",</v>
      </c>
    </row>
    <row r="2520" spans="1:4" x14ac:dyDescent="0.55000000000000004">
      <c r="A2520" t="s">
        <v>765</v>
      </c>
      <c r="B2520">
        <f>VLOOKUP(B2517,Tabelle3!$A$2:$E$33,4,FALSE)</f>
        <v>3</v>
      </c>
      <c r="D2520" t="str">
        <f t="shared" ref="D2520:D2583" si="2070">IF(ISNUMBER(B2520),(A2520&amp;B2520),"")</f>
        <v xml:space="preserve">    "damageModifier": 3</v>
      </c>
    </row>
    <row r="2521" spans="1:4" x14ac:dyDescent="0.55000000000000004">
      <c r="A2521" t="s">
        <v>6</v>
      </c>
      <c r="D2521" t="str">
        <f t="shared" ref="D2521:D2584" si="2071">A2521</f>
        <v xml:space="preserve">  },</v>
      </c>
    </row>
    <row r="2522" spans="1:4" x14ac:dyDescent="0.55000000000000004">
      <c r="A2522" t="s">
        <v>429</v>
      </c>
      <c r="D2522" t="str">
        <f t="shared" si="2071"/>
        <v xml:space="preserve">  "36-14": {</v>
      </c>
    </row>
    <row r="2523" spans="1:4" x14ac:dyDescent="0.55000000000000004">
      <c r="A2523" t="s">
        <v>285</v>
      </c>
      <c r="B2523">
        <f t="shared" ref="B2523" si="2072">_xlfn.NUMBERVALUE(RIGHT(A2523,2))</f>
        <v>15</v>
      </c>
      <c r="D2523" t="str">
        <f t="shared" ref="D2523:D2586" si="2073">A2523&amp;","</f>
        <v xml:space="preserve">    "resultPage": 15,</v>
      </c>
    </row>
    <row r="2524" spans="1:4" x14ac:dyDescent="0.55000000000000004">
      <c r="A2524" t="s">
        <v>763</v>
      </c>
      <c r="B2524" t="str">
        <f>VLOOKUP(B2523,Tabelle3!$A$2:$E$33,3,FALSE)</f>
        <v>Swinging Down</v>
      </c>
      <c r="C2524" t="s">
        <v>762</v>
      </c>
      <c r="D2524" t="str">
        <f t="shared" ref="D2524" si="2074">_xlfn.CONCAT(A2524:C2524)</f>
        <v xml:space="preserve">    "message":  "Swinging Down",</v>
      </c>
    </row>
    <row r="2525" spans="1:4" x14ac:dyDescent="0.55000000000000004">
      <c r="A2525" t="s">
        <v>764</v>
      </c>
      <c r="B2525" t="str">
        <f>VLOOKUP(B2523,Tabelle3!$A$2:$E$33,5,FALSE)</f>
        <v/>
      </c>
      <c r="C2525" t="s">
        <v>762</v>
      </c>
      <c r="D2525" t="str">
        <f t="shared" si="2024"/>
        <v xml:space="preserve">    "nextInstruction":  "",</v>
      </c>
    </row>
    <row r="2526" spans="1:4" x14ac:dyDescent="0.55000000000000004">
      <c r="A2526" t="s">
        <v>765</v>
      </c>
      <c r="B2526" t="str">
        <f>VLOOKUP(B2523,Tabelle3!$A$2:$E$33,4,FALSE)</f>
        <v>""</v>
      </c>
      <c r="D2526" t="str">
        <f t="shared" ref="D2526:D2589" si="2075">IF(ISNUMBER(B2526),(A2526&amp;B2526),"")</f>
        <v/>
      </c>
    </row>
    <row r="2527" spans="1:4" x14ac:dyDescent="0.55000000000000004">
      <c r="A2527" t="s">
        <v>6</v>
      </c>
      <c r="D2527" t="str">
        <f t="shared" ref="D2527:D2590" si="2076">A2527</f>
        <v xml:space="preserve">  },</v>
      </c>
    </row>
    <row r="2528" spans="1:4" x14ac:dyDescent="0.55000000000000004">
      <c r="A2528" t="s">
        <v>430</v>
      </c>
      <c r="D2528" t="str">
        <f t="shared" si="2076"/>
        <v xml:space="preserve">  "36-16": {</v>
      </c>
    </row>
    <row r="2529" spans="1:4" x14ac:dyDescent="0.55000000000000004">
      <c r="A2529" t="s">
        <v>47</v>
      </c>
      <c r="B2529">
        <f t="shared" ref="B2529" si="2077">_xlfn.NUMBERVALUE(RIGHT(A2529,2))</f>
        <v>41</v>
      </c>
      <c r="D2529" t="str">
        <f t="shared" ref="D2529:D2592" si="2078">A2529&amp;","</f>
        <v xml:space="preserve">    "resultPage": 41,</v>
      </c>
    </row>
    <row r="2530" spans="1:4" x14ac:dyDescent="0.55000000000000004">
      <c r="A2530" t="s">
        <v>763</v>
      </c>
      <c r="B2530" t="str">
        <f>VLOOKUP(B2529,Tabelle3!$A$2:$E$33,3,FALSE)</f>
        <v>Knocked Down</v>
      </c>
      <c r="C2530" t="s">
        <v>762</v>
      </c>
      <c r="D2530" t="str">
        <f t="shared" ref="D2530:D2591" si="2079">_xlfn.CONCAT(A2530:C2530)</f>
        <v xml:space="preserve">    "message":  "Knocked Down",</v>
      </c>
    </row>
    <row r="2531" spans="1:4" x14ac:dyDescent="0.55000000000000004">
      <c r="A2531" t="s">
        <v>764</v>
      </c>
      <c r="B2531" t="str">
        <f>VLOOKUP(B2529,Tabelle3!$A$2:$E$33,5,FALSE)</f>
        <v>Only Yellow No Orange</v>
      </c>
      <c r="C2531" t="s">
        <v>762</v>
      </c>
      <c r="D2531" t="str">
        <f t="shared" si="2079"/>
        <v xml:space="preserve">    "nextInstruction":  "Only Yellow No Orange",</v>
      </c>
    </row>
    <row r="2532" spans="1:4" x14ac:dyDescent="0.55000000000000004">
      <c r="A2532" t="s">
        <v>765</v>
      </c>
      <c r="B2532">
        <f>VLOOKUP(B2529,Tabelle3!$A$2:$E$33,4,FALSE)</f>
        <v>0</v>
      </c>
      <c r="D2532" t="str">
        <f t="shared" ref="D2532:D2595" si="2080">IF(ISNUMBER(B2532),(A2532&amp;B2532),"")</f>
        <v xml:space="preserve">    "damageModifier": 0</v>
      </c>
    </row>
    <row r="2533" spans="1:4" x14ac:dyDescent="0.55000000000000004">
      <c r="A2533" t="s">
        <v>6</v>
      </c>
      <c r="D2533" t="str">
        <f t="shared" ref="D2533:D2596" si="2081">A2533</f>
        <v xml:space="preserve">  },</v>
      </c>
    </row>
    <row r="2534" spans="1:4" x14ac:dyDescent="0.55000000000000004">
      <c r="A2534" t="s">
        <v>431</v>
      </c>
      <c r="D2534" t="str">
        <f t="shared" si="2081"/>
        <v xml:space="preserve">  "36-18": {</v>
      </c>
    </row>
    <row r="2535" spans="1:4" x14ac:dyDescent="0.55000000000000004">
      <c r="A2535" t="s">
        <v>285</v>
      </c>
      <c r="B2535">
        <f t="shared" ref="B2535" si="2082">_xlfn.NUMBERVALUE(RIGHT(A2535,2))</f>
        <v>15</v>
      </c>
      <c r="D2535" t="str">
        <f t="shared" ref="D2535:D2598" si="2083">A2535&amp;","</f>
        <v xml:space="preserve">    "resultPage": 15,</v>
      </c>
    </row>
    <row r="2536" spans="1:4" x14ac:dyDescent="0.55000000000000004">
      <c r="A2536" t="s">
        <v>763</v>
      </c>
      <c r="B2536" t="str">
        <f>VLOOKUP(B2535,Tabelle3!$A$2:$E$33,3,FALSE)</f>
        <v>Swinging Down</v>
      </c>
      <c r="C2536" t="s">
        <v>762</v>
      </c>
      <c r="D2536" t="str">
        <f t="shared" ref="D2536" si="2084">_xlfn.CONCAT(A2536:C2536)</f>
        <v xml:space="preserve">    "message":  "Swinging Down",</v>
      </c>
    </row>
    <row r="2537" spans="1:4" x14ac:dyDescent="0.55000000000000004">
      <c r="A2537" t="s">
        <v>764</v>
      </c>
      <c r="B2537" t="str">
        <f>VLOOKUP(B2535,Tabelle3!$A$2:$E$33,5,FALSE)</f>
        <v/>
      </c>
      <c r="C2537" t="s">
        <v>762</v>
      </c>
      <c r="D2537" t="str">
        <f t="shared" si="2079"/>
        <v xml:space="preserve">    "nextInstruction":  "",</v>
      </c>
    </row>
    <row r="2538" spans="1:4" x14ac:dyDescent="0.55000000000000004">
      <c r="A2538" t="s">
        <v>765</v>
      </c>
      <c r="B2538" t="str">
        <f>VLOOKUP(B2535,Tabelle3!$A$2:$E$33,4,FALSE)</f>
        <v>""</v>
      </c>
      <c r="D2538" t="str">
        <f t="shared" ref="D2538:D2601" si="2085">IF(ISNUMBER(B2538),(A2538&amp;B2538),"")</f>
        <v/>
      </c>
    </row>
    <row r="2539" spans="1:4" x14ac:dyDescent="0.55000000000000004">
      <c r="A2539" t="s">
        <v>6</v>
      </c>
      <c r="D2539" t="str">
        <f t="shared" ref="D2539:D2602" si="2086">A2539</f>
        <v xml:space="preserve">  },</v>
      </c>
    </row>
    <row r="2540" spans="1:4" x14ac:dyDescent="0.55000000000000004">
      <c r="A2540" t="s">
        <v>432</v>
      </c>
      <c r="D2540" t="str">
        <f t="shared" si="2086"/>
        <v xml:space="preserve">  "36-20": {</v>
      </c>
    </row>
    <row r="2541" spans="1:4" x14ac:dyDescent="0.55000000000000004">
      <c r="A2541" t="s">
        <v>285</v>
      </c>
      <c r="B2541">
        <f t="shared" ref="B2541" si="2087">_xlfn.NUMBERVALUE(RIGHT(A2541,2))</f>
        <v>15</v>
      </c>
      <c r="D2541" t="str">
        <f t="shared" ref="D2541:D2604" si="2088">A2541&amp;","</f>
        <v xml:space="preserve">    "resultPage": 15,</v>
      </c>
    </row>
    <row r="2542" spans="1:4" x14ac:dyDescent="0.55000000000000004">
      <c r="A2542" t="s">
        <v>763</v>
      </c>
      <c r="B2542" t="str">
        <f>VLOOKUP(B2541,Tabelle3!$A$2:$E$33,3,FALSE)</f>
        <v>Swinging Down</v>
      </c>
      <c r="C2542" t="s">
        <v>762</v>
      </c>
      <c r="D2542" t="str">
        <f t="shared" ref="D2542" si="2089">_xlfn.CONCAT(A2542:C2542)</f>
        <v xml:space="preserve">    "message":  "Swinging Down",</v>
      </c>
    </row>
    <row r="2543" spans="1:4" x14ac:dyDescent="0.55000000000000004">
      <c r="A2543" t="s">
        <v>764</v>
      </c>
      <c r="B2543" t="str">
        <f>VLOOKUP(B2541,Tabelle3!$A$2:$E$33,5,FALSE)</f>
        <v/>
      </c>
      <c r="C2543" t="s">
        <v>762</v>
      </c>
      <c r="D2543" t="str">
        <f t="shared" si="2079"/>
        <v xml:space="preserve">    "nextInstruction":  "",</v>
      </c>
    </row>
    <row r="2544" spans="1:4" x14ac:dyDescent="0.55000000000000004">
      <c r="A2544" t="s">
        <v>765</v>
      </c>
      <c r="B2544" t="str">
        <f>VLOOKUP(B2541,Tabelle3!$A$2:$E$33,4,FALSE)</f>
        <v>""</v>
      </c>
      <c r="D2544" t="str">
        <f t="shared" ref="D2544:D2607" si="2090">IF(ISNUMBER(B2544),(A2544&amp;B2544),"")</f>
        <v/>
      </c>
    </row>
    <row r="2545" spans="1:4" x14ac:dyDescent="0.55000000000000004">
      <c r="A2545" t="s">
        <v>6</v>
      </c>
      <c r="D2545" t="str">
        <f t="shared" ref="D2545:D2608" si="2091">A2545</f>
        <v xml:space="preserve">  },</v>
      </c>
    </row>
    <row r="2546" spans="1:4" x14ac:dyDescent="0.55000000000000004">
      <c r="A2546" t="s">
        <v>433</v>
      </c>
      <c r="D2546" t="str">
        <f t="shared" si="2091"/>
        <v xml:space="preserve">  "36-22": {</v>
      </c>
    </row>
    <row r="2547" spans="1:4" x14ac:dyDescent="0.55000000000000004">
      <c r="A2547" t="s">
        <v>285</v>
      </c>
      <c r="B2547">
        <f t="shared" ref="B2547" si="2092">_xlfn.NUMBERVALUE(RIGHT(A2547,2))</f>
        <v>15</v>
      </c>
      <c r="D2547" t="str">
        <f t="shared" ref="D2547:D2610" si="2093">A2547&amp;","</f>
        <v xml:space="preserve">    "resultPage": 15,</v>
      </c>
    </row>
    <row r="2548" spans="1:4" x14ac:dyDescent="0.55000000000000004">
      <c r="A2548" t="s">
        <v>763</v>
      </c>
      <c r="B2548" t="str">
        <f>VLOOKUP(B2547,Tabelle3!$A$2:$E$33,3,FALSE)</f>
        <v>Swinging Down</v>
      </c>
      <c r="C2548" t="s">
        <v>762</v>
      </c>
      <c r="D2548" t="str">
        <f t="shared" ref="D2548" si="2094">_xlfn.CONCAT(A2548:C2548)</f>
        <v xml:space="preserve">    "message":  "Swinging Down",</v>
      </c>
    </row>
    <row r="2549" spans="1:4" x14ac:dyDescent="0.55000000000000004">
      <c r="A2549" t="s">
        <v>764</v>
      </c>
      <c r="B2549" t="str">
        <f>VLOOKUP(B2547,Tabelle3!$A$2:$E$33,5,FALSE)</f>
        <v/>
      </c>
      <c r="C2549" t="s">
        <v>762</v>
      </c>
      <c r="D2549" t="str">
        <f t="shared" si="2079"/>
        <v xml:space="preserve">    "nextInstruction":  "",</v>
      </c>
    </row>
    <row r="2550" spans="1:4" x14ac:dyDescent="0.55000000000000004">
      <c r="A2550" t="s">
        <v>765</v>
      </c>
      <c r="B2550" t="str">
        <f>VLOOKUP(B2547,Tabelle3!$A$2:$E$33,4,FALSE)</f>
        <v>""</v>
      </c>
      <c r="D2550" t="str">
        <f t="shared" ref="D2550:D2613" si="2095">IF(ISNUMBER(B2550),(A2550&amp;B2550),"")</f>
        <v/>
      </c>
    </row>
    <row r="2551" spans="1:4" x14ac:dyDescent="0.55000000000000004">
      <c r="A2551" t="s">
        <v>6</v>
      </c>
      <c r="D2551" t="str">
        <f t="shared" ref="D2551:D2614" si="2096">A2551</f>
        <v xml:space="preserve">  },</v>
      </c>
    </row>
    <row r="2552" spans="1:4" x14ac:dyDescent="0.55000000000000004">
      <c r="A2552" t="s">
        <v>434</v>
      </c>
      <c r="D2552" t="str">
        <f t="shared" si="2096"/>
        <v xml:space="preserve">  "36-24": {</v>
      </c>
    </row>
    <row r="2553" spans="1:4" x14ac:dyDescent="0.55000000000000004">
      <c r="A2553" t="s">
        <v>285</v>
      </c>
      <c r="B2553">
        <f t="shared" ref="B2553" si="2097">_xlfn.NUMBERVALUE(RIGHT(A2553,2))</f>
        <v>15</v>
      </c>
      <c r="D2553" t="str">
        <f t="shared" ref="D2553:D2616" si="2098">A2553&amp;","</f>
        <v xml:space="preserve">    "resultPage": 15,</v>
      </c>
    </row>
    <row r="2554" spans="1:4" x14ac:dyDescent="0.55000000000000004">
      <c r="A2554" t="s">
        <v>763</v>
      </c>
      <c r="B2554" t="str">
        <f>VLOOKUP(B2553,Tabelle3!$A$2:$E$33,3,FALSE)</f>
        <v>Swinging Down</v>
      </c>
      <c r="C2554" t="s">
        <v>762</v>
      </c>
      <c r="D2554" t="str">
        <f t="shared" ref="D2554" si="2099">_xlfn.CONCAT(A2554:C2554)</f>
        <v xml:space="preserve">    "message":  "Swinging Down",</v>
      </c>
    </row>
    <row r="2555" spans="1:4" x14ac:dyDescent="0.55000000000000004">
      <c r="A2555" t="s">
        <v>764</v>
      </c>
      <c r="B2555" t="str">
        <f>VLOOKUP(B2553,Tabelle3!$A$2:$E$33,5,FALSE)</f>
        <v/>
      </c>
      <c r="C2555" t="s">
        <v>762</v>
      </c>
      <c r="D2555" t="str">
        <f t="shared" si="2079"/>
        <v xml:space="preserve">    "nextInstruction":  "",</v>
      </c>
    </row>
    <row r="2556" spans="1:4" x14ac:dyDescent="0.55000000000000004">
      <c r="A2556" t="s">
        <v>765</v>
      </c>
      <c r="B2556" t="str">
        <f>VLOOKUP(B2553,Tabelle3!$A$2:$E$33,4,FALSE)</f>
        <v>""</v>
      </c>
      <c r="D2556" t="str">
        <f t="shared" ref="D2556:D2619" si="2100">IF(ISNUMBER(B2556),(A2556&amp;B2556),"")</f>
        <v/>
      </c>
    </row>
    <row r="2557" spans="1:4" x14ac:dyDescent="0.55000000000000004">
      <c r="A2557" t="s">
        <v>6</v>
      </c>
      <c r="D2557" t="str">
        <f t="shared" ref="D2557:D2620" si="2101">A2557</f>
        <v xml:space="preserve">  },</v>
      </c>
    </row>
    <row r="2558" spans="1:4" x14ac:dyDescent="0.55000000000000004">
      <c r="A2558" t="s">
        <v>435</v>
      </c>
      <c r="D2558" t="str">
        <f t="shared" si="2101"/>
        <v xml:space="preserve">  "36-26": {</v>
      </c>
    </row>
    <row r="2559" spans="1:4" x14ac:dyDescent="0.55000000000000004">
      <c r="A2559" t="s">
        <v>35</v>
      </c>
      <c r="B2559">
        <f t="shared" ref="B2559" si="2102">_xlfn.NUMBERVALUE(RIGHT(A2559,2))</f>
        <v>59</v>
      </c>
      <c r="D2559" t="str">
        <f t="shared" ref="D2559:D2622" si="2103">A2559&amp;","</f>
        <v xml:space="preserve">    "resultPage": 59,</v>
      </c>
    </row>
    <row r="2560" spans="1:4" x14ac:dyDescent="0.55000000000000004">
      <c r="A2560" t="s">
        <v>763</v>
      </c>
      <c r="B2560" t="str">
        <f>VLOOKUP(B2559,Tabelle3!$A$2:$E$33,3,FALSE)</f>
        <v>Pushed off Balance</v>
      </c>
      <c r="C2560" t="s">
        <v>762</v>
      </c>
      <c r="D2560" t="str">
        <f t="shared" ref="D2560" si="2104">_xlfn.CONCAT(A2560:C2560)</f>
        <v xml:space="preserve">    "message":  "Pushed off Balance",</v>
      </c>
    </row>
    <row r="2561" spans="1:4" x14ac:dyDescent="0.55000000000000004">
      <c r="A2561" t="s">
        <v>764</v>
      </c>
      <c r="B2561" t="str">
        <f>VLOOKUP(B2559,Tabelle3!$A$2:$E$33,5,FALSE)</f>
        <v>Only Green Only Yellow</v>
      </c>
      <c r="C2561" t="s">
        <v>762</v>
      </c>
      <c r="D2561" t="str">
        <f t="shared" si="2079"/>
        <v xml:space="preserve">    "nextInstruction":  "Only Green Only Yellow",</v>
      </c>
    </row>
    <row r="2562" spans="1:4" x14ac:dyDescent="0.55000000000000004">
      <c r="A2562" t="s">
        <v>765</v>
      </c>
      <c r="B2562">
        <f>VLOOKUP(B2559,Tabelle3!$A$2:$E$33,4,FALSE)</f>
        <v>0</v>
      </c>
      <c r="D2562" t="str">
        <f t="shared" ref="D2562:D2625" si="2105">IF(ISNUMBER(B2562),(A2562&amp;B2562),"")</f>
        <v xml:space="preserve">    "damageModifier": 0</v>
      </c>
    </row>
    <row r="2563" spans="1:4" x14ac:dyDescent="0.55000000000000004">
      <c r="A2563" t="s">
        <v>6</v>
      </c>
      <c r="D2563" t="str">
        <f t="shared" ref="D2563:D2626" si="2106">A2563</f>
        <v xml:space="preserve">  },</v>
      </c>
    </row>
    <row r="2564" spans="1:4" x14ac:dyDescent="0.55000000000000004">
      <c r="A2564" t="s">
        <v>436</v>
      </c>
      <c r="D2564" t="str">
        <f t="shared" si="2106"/>
        <v xml:space="preserve">  "36-28": {</v>
      </c>
    </row>
    <row r="2565" spans="1:4" x14ac:dyDescent="0.55000000000000004">
      <c r="A2565" t="s">
        <v>10</v>
      </c>
      <c r="B2565">
        <f t="shared" ref="B2565" si="2107">_xlfn.NUMBERVALUE(RIGHT(A2565,2))</f>
        <v>31</v>
      </c>
      <c r="D2565" t="str">
        <f t="shared" ref="D2565:D2628" si="2108">A2565&amp;","</f>
        <v xml:space="preserve">    "resultPage": 31,</v>
      </c>
    </row>
    <row r="2566" spans="1:4" x14ac:dyDescent="0.55000000000000004">
      <c r="A2566" t="s">
        <v>763</v>
      </c>
      <c r="B2566" t="str">
        <f>VLOOKUP(B2565,Tabelle3!$A$2:$E$33,3,FALSE)</f>
        <v>Arm Wound</v>
      </c>
      <c r="C2566" t="s">
        <v>762</v>
      </c>
      <c r="D2566" t="str">
        <f t="shared" ref="D2566" si="2109">_xlfn.CONCAT(A2566:C2566)</f>
        <v xml:space="preserve">    "message":  "Arm Wound",</v>
      </c>
    </row>
    <row r="2567" spans="1:4" x14ac:dyDescent="0.55000000000000004">
      <c r="A2567" t="s">
        <v>764</v>
      </c>
      <c r="B2567" t="str">
        <f>VLOOKUP(B2565,Tabelle3!$A$2:$E$33,5,FALSE)</f>
        <v>No Orange</v>
      </c>
      <c r="C2567" t="s">
        <v>762</v>
      </c>
      <c r="D2567" t="str">
        <f t="shared" si="2079"/>
        <v xml:space="preserve">    "nextInstruction":  "No Orange",</v>
      </c>
    </row>
    <row r="2568" spans="1:4" x14ac:dyDescent="0.55000000000000004">
      <c r="A2568" t="s">
        <v>765</v>
      </c>
      <c r="B2568">
        <f>VLOOKUP(B2565,Tabelle3!$A$2:$E$33,4,FALSE)</f>
        <v>3</v>
      </c>
      <c r="D2568" t="str">
        <f t="shared" ref="D2568:D2631" si="2110">IF(ISNUMBER(B2568),(A2568&amp;B2568),"")</f>
        <v xml:space="preserve">    "damageModifier": 3</v>
      </c>
    </row>
    <row r="2569" spans="1:4" x14ac:dyDescent="0.55000000000000004">
      <c r="A2569" t="s">
        <v>6</v>
      </c>
      <c r="D2569" t="str">
        <f t="shared" ref="D2569:D2632" si="2111">A2569</f>
        <v xml:space="preserve">  },</v>
      </c>
    </row>
    <row r="2570" spans="1:4" x14ac:dyDescent="0.55000000000000004">
      <c r="A2570" t="s">
        <v>437</v>
      </c>
      <c r="D2570" t="str">
        <f t="shared" si="2111"/>
        <v xml:space="preserve">  "36-30": {</v>
      </c>
    </row>
    <row r="2571" spans="1:4" x14ac:dyDescent="0.55000000000000004">
      <c r="A2571" t="s">
        <v>285</v>
      </c>
      <c r="B2571">
        <f t="shared" ref="B2571" si="2112">_xlfn.NUMBERVALUE(RIGHT(A2571,2))</f>
        <v>15</v>
      </c>
      <c r="D2571" t="str">
        <f t="shared" ref="D2571:D2634" si="2113">A2571&amp;","</f>
        <v xml:space="preserve">    "resultPage": 15,</v>
      </c>
    </row>
    <row r="2572" spans="1:4" x14ac:dyDescent="0.55000000000000004">
      <c r="A2572" t="s">
        <v>763</v>
      </c>
      <c r="B2572" t="str">
        <f>VLOOKUP(B2571,Tabelle3!$A$2:$E$33,3,FALSE)</f>
        <v>Swinging Down</v>
      </c>
      <c r="C2572" t="s">
        <v>762</v>
      </c>
      <c r="D2572" t="str">
        <f t="shared" ref="D2572" si="2114">_xlfn.CONCAT(A2572:C2572)</f>
        <v xml:space="preserve">    "message":  "Swinging Down",</v>
      </c>
    </row>
    <row r="2573" spans="1:4" x14ac:dyDescent="0.55000000000000004">
      <c r="A2573" t="s">
        <v>764</v>
      </c>
      <c r="B2573" t="str">
        <f>VLOOKUP(B2571,Tabelle3!$A$2:$E$33,5,FALSE)</f>
        <v/>
      </c>
      <c r="C2573" t="s">
        <v>762</v>
      </c>
      <c r="D2573" t="str">
        <f t="shared" si="2079"/>
        <v xml:space="preserve">    "nextInstruction":  "",</v>
      </c>
    </row>
    <row r="2574" spans="1:4" x14ac:dyDescent="0.55000000000000004">
      <c r="A2574" t="s">
        <v>765</v>
      </c>
      <c r="B2574" t="str">
        <f>VLOOKUP(B2571,Tabelle3!$A$2:$E$33,4,FALSE)</f>
        <v>""</v>
      </c>
      <c r="D2574" t="str">
        <f t="shared" ref="D2574:D2637" si="2115">IF(ISNUMBER(B2574),(A2574&amp;B2574),"")</f>
        <v/>
      </c>
    </row>
    <row r="2575" spans="1:4" x14ac:dyDescent="0.55000000000000004">
      <c r="A2575" t="s">
        <v>6</v>
      </c>
      <c r="D2575" t="str">
        <f t="shared" ref="D2575:D2638" si="2116">A2575</f>
        <v xml:space="preserve">  },</v>
      </c>
    </row>
    <row r="2576" spans="1:4" x14ac:dyDescent="0.55000000000000004">
      <c r="A2576" t="s">
        <v>438</v>
      </c>
      <c r="D2576" t="str">
        <f t="shared" si="2116"/>
        <v xml:space="preserve">  "36-32": {</v>
      </c>
    </row>
    <row r="2577" spans="1:4" x14ac:dyDescent="0.55000000000000004">
      <c r="A2577" t="s">
        <v>285</v>
      </c>
      <c r="B2577">
        <f t="shared" ref="B2577" si="2117">_xlfn.NUMBERVALUE(RIGHT(A2577,2))</f>
        <v>15</v>
      </c>
      <c r="D2577" t="str">
        <f t="shared" ref="D2577:D2640" si="2118">A2577&amp;","</f>
        <v xml:space="preserve">    "resultPage": 15,</v>
      </c>
    </row>
    <row r="2578" spans="1:4" x14ac:dyDescent="0.55000000000000004">
      <c r="A2578" t="s">
        <v>763</v>
      </c>
      <c r="B2578" t="str">
        <f>VLOOKUP(B2577,Tabelle3!$A$2:$E$33,3,FALSE)</f>
        <v>Swinging Down</v>
      </c>
      <c r="C2578" t="s">
        <v>762</v>
      </c>
      <c r="D2578" t="str">
        <f t="shared" ref="D2578" si="2119">_xlfn.CONCAT(A2578:C2578)</f>
        <v xml:space="preserve">    "message":  "Swinging Down",</v>
      </c>
    </row>
    <row r="2579" spans="1:4" x14ac:dyDescent="0.55000000000000004">
      <c r="A2579" t="s">
        <v>764</v>
      </c>
      <c r="B2579" t="str">
        <f>VLOOKUP(B2577,Tabelle3!$A$2:$E$33,5,FALSE)</f>
        <v/>
      </c>
      <c r="C2579" t="s">
        <v>762</v>
      </c>
      <c r="D2579" t="str">
        <f t="shared" si="2079"/>
        <v xml:space="preserve">    "nextInstruction":  "",</v>
      </c>
    </row>
    <row r="2580" spans="1:4" x14ac:dyDescent="0.55000000000000004">
      <c r="A2580" t="s">
        <v>765</v>
      </c>
      <c r="B2580" t="str">
        <f>VLOOKUP(B2577,Tabelle3!$A$2:$E$33,4,FALSE)</f>
        <v>""</v>
      </c>
      <c r="D2580" t="str">
        <f t="shared" ref="D2580:D2643" si="2120">IF(ISNUMBER(B2580),(A2580&amp;B2580),"")</f>
        <v/>
      </c>
    </row>
    <row r="2581" spans="1:4" x14ac:dyDescent="0.55000000000000004">
      <c r="A2581" t="s">
        <v>6</v>
      </c>
      <c r="D2581" t="str">
        <f t="shared" ref="D2581:D2644" si="2121">A2581</f>
        <v xml:space="preserve">  },</v>
      </c>
    </row>
    <row r="2582" spans="1:4" x14ac:dyDescent="0.55000000000000004">
      <c r="A2582" t="s">
        <v>439</v>
      </c>
      <c r="D2582" t="str">
        <f t="shared" si="2121"/>
        <v xml:space="preserve">  "36-34": {</v>
      </c>
    </row>
    <row r="2583" spans="1:4" x14ac:dyDescent="0.55000000000000004">
      <c r="A2583" t="s">
        <v>47</v>
      </c>
      <c r="B2583">
        <f t="shared" ref="B2583" si="2122">_xlfn.NUMBERVALUE(RIGHT(A2583,2))</f>
        <v>41</v>
      </c>
      <c r="D2583" t="str">
        <f t="shared" ref="D2583:D2646" si="2123">A2583&amp;","</f>
        <v xml:space="preserve">    "resultPage": 41,</v>
      </c>
    </row>
    <row r="2584" spans="1:4" x14ac:dyDescent="0.55000000000000004">
      <c r="A2584" t="s">
        <v>763</v>
      </c>
      <c r="B2584" t="str">
        <f>VLOOKUP(B2583,Tabelle3!$A$2:$E$33,3,FALSE)</f>
        <v>Knocked Down</v>
      </c>
      <c r="C2584" t="s">
        <v>762</v>
      </c>
      <c r="D2584" t="str">
        <f t="shared" ref="D2584" si="2124">_xlfn.CONCAT(A2584:C2584)</f>
        <v xml:space="preserve">    "message":  "Knocked Down",</v>
      </c>
    </row>
    <row r="2585" spans="1:4" x14ac:dyDescent="0.55000000000000004">
      <c r="A2585" t="s">
        <v>764</v>
      </c>
      <c r="B2585" t="str">
        <f>VLOOKUP(B2583,Tabelle3!$A$2:$E$33,5,FALSE)</f>
        <v>Only Yellow No Orange</v>
      </c>
      <c r="C2585" t="s">
        <v>762</v>
      </c>
      <c r="D2585" t="str">
        <f t="shared" si="2079"/>
        <v xml:space="preserve">    "nextInstruction":  "Only Yellow No Orange",</v>
      </c>
    </row>
    <row r="2586" spans="1:4" x14ac:dyDescent="0.55000000000000004">
      <c r="A2586" t="s">
        <v>765</v>
      </c>
      <c r="B2586">
        <f>VLOOKUP(B2583,Tabelle3!$A$2:$E$33,4,FALSE)</f>
        <v>0</v>
      </c>
      <c r="D2586" t="str">
        <f t="shared" ref="D2586:D2649" si="2125">IF(ISNUMBER(B2586),(A2586&amp;B2586),"")</f>
        <v xml:space="preserve">    "damageModifier": 0</v>
      </c>
    </row>
    <row r="2587" spans="1:4" x14ac:dyDescent="0.55000000000000004">
      <c r="A2587" t="s">
        <v>6</v>
      </c>
      <c r="D2587" t="str">
        <f t="shared" ref="D2587:D2650" si="2126">A2587</f>
        <v xml:space="preserve">  },</v>
      </c>
    </row>
    <row r="2588" spans="1:4" x14ac:dyDescent="0.55000000000000004">
      <c r="A2588" t="s">
        <v>440</v>
      </c>
      <c r="D2588" t="str">
        <f t="shared" si="2126"/>
        <v xml:space="preserve">  "36-36": {</v>
      </c>
    </row>
    <row r="2589" spans="1:4" x14ac:dyDescent="0.55000000000000004">
      <c r="A2589" t="s">
        <v>285</v>
      </c>
      <c r="B2589">
        <f t="shared" ref="B2589" si="2127">_xlfn.NUMBERVALUE(RIGHT(A2589,2))</f>
        <v>15</v>
      </c>
      <c r="D2589" t="str">
        <f t="shared" ref="D2589:D2652" si="2128">A2589&amp;","</f>
        <v xml:space="preserve">    "resultPage": 15,</v>
      </c>
    </row>
    <row r="2590" spans="1:4" x14ac:dyDescent="0.55000000000000004">
      <c r="A2590" t="s">
        <v>763</v>
      </c>
      <c r="B2590" t="str">
        <f>VLOOKUP(B2589,Tabelle3!$A$2:$E$33,3,FALSE)</f>
        <v>Swinging Down</v>
      </c>
      <c r="C2590" t="s">
        <v>762</v>
      </c>
      <c r="D2590" t="str">
        <f t="shared" ref="D2590" si="2129">_xlfn.CONCAT(A2590:C2590)</f>
        <v xml:space="preserve">    "message":  "Swinging Down",</v>
      </c>
    </row>
    <row r="2591" spans="1:4" x14ac:dyDescent="0.55000000000000004">
      <c r="A2591" t="s">
        <v>764</v>
      </c>
      <c r="B2591" t="str">
        <f>VLOOKUP(B2589,Tabelle3!$A$2:$E$33,5,FALSE)</f>
        <v/>
      </c>
      <c r="C2591" t="s">
        <v>762</v>
      </c>
      <c r="D2591" t="str">
        <f t="shared" si="2079"/>
        <v xml:space="preserve">    "nextInstruction":  "",</v>
      </c>
    </row>
    <row r="2592" spans="1:4" x14ac:dyDescent="0.55000000000000004">
      <c r="A2592" t="s">
        <v>765</v>
      </c>
      <c r="B2592" t="str">
        <f>VLOOKUP(B2589,Tabelle3!$A$2:$E$33,4,FALSE)</f>
        <v>""</v>
      </c>
      <c r="D2592" t="str">
        <f t="shared" ref="D2592:D2655" si="2130">IF(ISNUMBER(B2592),(A2592&amp;B2592),"")</f>
        <v/>
      </c>
    </row>
    <row r="2593" spans="1:4" x14ac:dyDescent="0.55000000000000004">
      <c r="A2593" t="s">
        <v>6</v>
      </c>
      <c r="D2593" t="str">
        <f t="shared" ref="D2593:D2656" si="2131">A2593</f>
        <v xml:space="preserve">  },</v>
      </c>
    </row>
    <row r="2594" spans="1:4" x14ac:dyDescent="0.55000000000000004">
      <c r="A2594" t="s">
        <v>441</v>
      </c>
      <c r="D2594" t="str">
        <f t="shared" si="2131"/>
        <v xml:space="preserve">  "36-38": {</v>
      </c>
    </row>
    <row r="2595" spans="1:4" x14ac:dyDescent="0.55000000000000004">
      <c r="A2595" t="s">
        <v>10</v>
      </c>
      <c r="B2595">
        <f t="shared" ref="B2595" si="2132">_xlfn.NUMBERVALUE(RIGHT(A2595,2))</f>
        <v>31</v>
      </c>
      <c r="D2595" t="str">
        <f t="shared" ref="D2595:D2658" si="2133">A2595&amp;","</f>
        <v xml:space="preserve">    "resultPage": 31,</v>
      </c>
    </row>
    <row r="2596" spans="1:4" x14ac:dyDescent="0.55000000000000004">
      <c r="A2596" t="s">
        <v>763</v>
      </c>
      <c r="B2596" t="str">
        <f>VLOOKUP(B2595,Tabelle3!$A$2:$E$33,3,FALSE)</f>
        <v>Arm Wound</v>
      </c>
      <c r="C2596" t="s">
        <v>762</v>
      </c>
      <c r="D2596" t="str">
        <f t="shared" ref="D2596:D2657" si="2134">_xlfn.CONCAT(A2596:C2596)</f>
        <v xml:space="preserve">    "message":  "Arm Wound",</v>
      </c>
    </row>
    <row r="2597" spans="1:4" x14ac:dyDescent="0.55000000000000004">
      <c r="A2597" t="s">
        <v>764</v>
      </c>
      <c r="B2597" t="str">
        <f>VLOOKUP(B2595,Tabelle3!$A$2:$E$33,5,FALSE)</f>
        <v>No Orange</v>
      </c>
      <c r="C2597" t="s">
        <v>762</v>
      </c>
      <c r="D2597" t="str">
        <f t="shared" si="2134"/>
        <v xml:space="preserve">    "nextInstruction":  "No Orange",</v>
      </c>
    </row>
    <row r="2598" spans="1:4" x14ac:dyDescent="0.55000000000000004">
      <c r="A2598" t="s">
        <v>765</v>
      </c>
      <c r="B2598">
        <f>VLOOKUP(B2595,Tabelle3!$A$2:$E$33,4,FALSE)</f>
        <v>3</v>
      </c>
      <c r="D2598" t="str">
        <f t="shared" ref="D2598:D2661" si="2135">IF(ISNUMBER(B2598),(A2598&amp;B2598),"")</f>
        <v xml:space="preserve">    "damageModifier": 3</v>
      </c>
    </row>
    <row r="2599" spans="1:4" x14ac:dyDescent="0.55000000000000004">
      <c r="A2599" t="s">
        <v>6</v>
      </c>
      <c r="D2599" t="str">
        <f t="shared" ref="D2599:D2662" si="2136">A2599</f>
        <v xml:space="preserve">  },</v>
      </c>
    </row>
    <row r="2600" spans="1:4" x14ac:dyDescent="0.55000000000000004">
      <c r="A2600" t="s">
        <v>442</v>
      </c>
      <c r="D2600" t="str">
        <f t="shared" si="2136"/>
        <v xml:space="preserve">  "36-40": {</v>
      </c>
    </row>
    <row r="2601" spans="1:4" x14ac:dyDescent="0.55000000000000004">
      <c r="A2601" t="s">
        <v>47</v>
      </c>
      <c r="B2601">
        <f t="shared" ref="B2601" si="2137">_xlfn.NUMBERVALUE(RIGHT(A2601,2))</f>
        <v>41</v>
      </c>
      <c r="D2601" t="str">
        <f t="shared" ref="D2601:D2664" si="2138">A2601&amp;","</f>
        <v xml:space="preserve">    "resultPage": 41,</v>
      </c>
    </row>
    <row r="2602" spans="1:4" x14ac:dyDescent="0.55000000000000004">
      <c r="A2602" t="s">
        <v>763</v>
      </c>
      <c r="B2602" t="str">
        <f>VLOOKUP(B2601,Tabelle3!$A$2:$E$33,3,FALSE)</f>
        <v>Knocked Down</v>
      </c>
      <c r="C2602" t="s">
        <v>762</v>
      </c>
      <c r="D2602" t="str">
        <f t="shared" ref="D2602" si="2139">_xlfn.CONCAT(A2602:C2602)</f>
        <v xml:space="preserve">    "message":  "Knocked Down",</v>
      </c>
    </row>
    <row r="2603" spans="1:4" x14ac:dyDescent="0.55000000000000004">
      <c r="A2603" t="s">
        <v>764</v>
      </c>
      <c r="B2603" t="str">
        <f>VLOOKUP(B2601,Tabelle3!$A$2:$E$33,5,FALSE)</f>
        <v>Only Yellow No Orange</v>
      </c>
      <c r="C2603" t="s">
        <v>762</v>
      </c>
      <c r="D2603" t="str">
        <f t="shared" si="2134"/>
        <v xml:space="preserve">    "nextInstruction":  "Only Yellow No Orange",</v>
      </c>
    </row>
    <row r="2604" spans="1:4" x14ac:dyDescent="0.55000000000000004">
      <c r="A2604" t="s">
        <v>765</v>
      </c>
      <c r="B2604">
        <f>VLOOKUP(B2601,Tabelle3!$A$2:$E$33,4,FALSE)</f>
        <v>0</v>
      </c>
      <c r="D2604" t="str">
        <f t="shared" ref="D2604:D2667" si="2140">IF(ISNUMBER(B2604),(A2604&amp;B2604),"")</f>
        <v xml:space="preserve">    "damageModifier": 0</v>
      </c>
    </row>
    <row r="2605" spans="1:4" x14ac:dyDescent="0.55000000000000004">
      <c r="A2605" t="s">
        <v>6</v>
      </c>
      <c r="D2605" t="str">
        <f t="shared" ref="D2605:D2668" si="2141">A2605</f>
        <v xml:space="preserve">  },</v>
      </c>
    </row>
    <row r="2606" spans="1:4" x14ac:dyDescent="0.55000000000000004">
      <c r="A2606" t="s">
        <v>443</v>
      </c>
      <c r="D2606" t="str">
        <f t="shared" si="2141"/>
        <v xml:space="preserve">  "36-42": {</v>
      </c>
    </row>
    <row r="2607" spans="1:4" x14ac:dyDescent="0.55000000000000004">
      <c r="A2607" t="s">
        <v>138</v>
      </c>
      <c r="B2607">
        <f t="shared" ref="B2607" si="2142">_xlfn.NUMBERVALUE(RIGHT(A2607,2))</f>
        <v>13</v>
      </c>
      <c r="D2607" t="str">
        <f t="shared" ref="D2607:D2670" si="2143">A2607&amp;","</f>
        <v xml:space="preserve">    "resultPage": 13,</v>
      </c>
    </row>
    <row r="2608" spans="1:4" x14ac:dyDescent="0.55000000000000004">
      <c r="A2608" t="s">
        <v>763</v>
      </c>
      <c r="B2608" t="str">
        <f>VLOOKUP(B2607,Tabelle3!$A$2:$E$33,3,FALSE)</f>
        <v>Leg Wound</v>
      </c>
      <c r="C2608" t="s">
        <v>762</v>
      </c>
      <c r="D2608" t="str">
        <f t="shared" ref="D2608" si="2144">_xlfn.CONCAT(A2608:C2608)</f>
        <v xml:space="preserve">    "message":  "Leg Wound",</v>
      </c>
    </row>
    <row r="2609" spans="1:4" x14ac:dyDescent="0.55000000000000004">
      <c r="A2609" t="s">
        <v>764</v>
      </c>
      <c r="B2609" t="str">
        <f>VLOOKUP(B2607,Tabelle3!$A$2:$E$33,5,FALSE)</f>
        <v>No Orange</v>
      </c>
      <c r="C2609" t="s">
        <v>762</v>
      </c>
      <c r="D2609" t="str">
        <f t="shared" si="2134"/>
        <v xml:space="preserve">    "nextInstruction":  "No Orange",</v>
      </c>
    </row>
    <row r="2610" spans="1:4" x14ac:dyDescent="0.55000000000000004">
      <c r="A2610" t="s">
        <v>765</v>
      </c>
      <c r="B2610">
        <f>VLOOKUP(B2607,Tabelle3!$A$2:$E$33,4,FALSE)</f>
        <v>4</v>
      </c>
      <c r="D2610" t="str">
        <f t="shared" ref="D2610:D2673" si="2145">IF(ISNUMBER(B2610),(A2610&amp;B2610),"")</f>
        <v xml:space="preserve">    "damageModifier": 4</v>
      </c>
    </row>
    <row r="2611" spans="1:4" x14ac:dyDescent="0.55000000000000004">
      <c r="A2611" t="s">
        <v>6</v>
      </c>
      <c r="D2611" t="str">
        <f t="shared" ref="D2611:D2674" si="2146">A2611</f>
        <v xml:space="preserve">  },</v>
      </c>
    </row>
    <row r="2612" spans="1:4" x14ac:dyDescent="0.55000000000000004">
      <c r="A2612" t="s">
        <v>444</v>
      </c>
      <c r="D2612" t="str">
        <f t="shared" si="2146"/>
        <v xml:space="preserve">  "36-44": {</v>
      </c>
    </row>
    <row r="2613" spans="1:4" x14ac:dyDescent="0.55000000000000004">
      <c r="A2613" t="s">
        <v>58</v>
      </c>
      <c r="B2613">
        <f t="shared" ref="B2613" si="2147">_xlfn.NUMBERVALUE(RIGHT(A2613,2))</f>
        <v>19</v>
      </c>
      <c r="D2613" t="str">
        <f t="shared" ref="D2613:D2676" si="2148">A2613&amp;","</f>
        <v xml:space="preserve">    "resultPage": 19,</v>
      </c>
    </row>
    <row r="2614" spans="1:4" x14ac:dyDescent="0.55000000000000004">
      <c r="A2614" t="s">
        <v>763</v>
      </c>
      <c r="B2614" t="str">
        <f>VLOOKUP(B2613,Tabelle3!$A$2:$E$33,3,FALSE)</f>
        <v>Struck off Balance</v>
      </c>
      <c r="C2614" t="s">
        <v>762</v>
      </c>
      <c r="D2614" t="str">
        <f t="shared" ref="D2614" si="2149">_xlfn.CONCAT(A2614:C2614)</f>
        <v xml:space="preserve">    "message":  "Struck off Balance",</v>
      </c>
    </row>
    <row r="2615" spans="1:4" x14ac:dyDescent="0.55000000000000004">
      <c r="A2615" t="s">
        <v>764</v>
      </c>
      <c r="B2615" t="str">
        <f>VLOOKUP(B2613,Tabelle3!$A$2:$E$33,5,FALSE)</f>
        <v>Only Green Only Yellow</v>
      </c>
      <c r="C2615" t="s">
        <v>762</v>
      </c>
      <c r="D2615" t="str">
        <f t="shared" si="2134"/>
        <v xml:space="preserve">    "nextInstruction":  "Only Green Only Yellow",</v>
      </c>
    </row>
    <row r="2616" spans="1:4" x14ac:dyDescent="0.55000000000000004">
      <c r="A2616" t="s">
        <v>765</v>
      </c>
      <c r="B2616">
        <f>VLOOKUP(B2613,Tabelle3!$A$2:$E$33,4,FALSE)</f>
        <v>0</v>
      </c>
      <c r="D2616" t="str">
        <f t="shared" ref="D2616:D2679" si="2150">IF(ISNUMBER(B2616),(A2616&amp;B2616),"")</f>
        <v xml:space="preserve">    "damageModifier": 0</v>
      </c>
    </row>
    <row r="2617" spans="1:4" x14ac:dyDescent="0.55000000000000004">
      <c r="A2617" t="s">
        <v>6</v>
      </c>
      <c r="D2617" t="str">
        <f t="shared" ref="D2617:D2680" si="2151">A2617</f>
        <v xml:space="preserve">  },</v>
      </c>
    </row>
    <row r="2618" spans="1:4" x14ac:dyDescent="0.55000000000000004">
      <c r="A2618" t="s">
        <v>445</v>
      </c>
      <c r="D2618" t="str">
        <f t="shared" si="2151"/>
        <v xml:space="preserve">  "36-46": {</v>
      </c>
    </row>
    <row r="2619" spans="1:4" x14ac:dyDescent="0.55000000000000004">
      <c r="A2619" t="s">
        <v>285</v>
      </c>
      <c r="B2619">
        <f t="shared" ref="B2619" si="2152">_xlfn.NUMBERVALUE(RIGHT(A2619,2))</f>
        <v>15</v>
      </c>
      <c r="D2619" t="str">
        <f t="shared" ref="D2619:D2682" si="2153">A2619&amp;","</f>
        <v xml:space="preserve">    "resultPage": 15,</v>
      </c>
    </row>
    <row r="2620" spans="1:4" x14ac:dyDescent="0.55000000000000004">
      <c r="A2620" t="s">
        <v>763</v>
      </c>
      <c r="B2620" t="str">
        <f>VLOOKUP(B2619,Tabelle3!$A$2:$E$33,3,FALSE)</f>
        <v>Swinging Down</v>
      </c>
      <c r="C2620" t="s">
        <v>762</v>
      </c>
      <c r="D2620" t="str">
        <f t="shared" ref="D2620" si="2154">_xlfn.CONCAT(A2620:C2620)</f>
        <v xml:space="preserve">    "message":  "Swinging Down",</v>
      </c>
    </row>
    <row r="2621" spans="1:4" x14ac:dyDescent="0.55000000000000004">
      <c r="A2621" t="s">
        <v>764</v>
      </c>
      <c r="B2621" t="str">
        <f>VLOOKUP(B2619,Tabelle3!$A$2:$E$33,5,FALSE)</f>
        <v/>
      </c>
      <c r="C2621" t="s">
        <v>762</v>
      </c>
      <c r="D2621" t="str">
        <f t="shared" si="2134"/>
        <v xml:space="preserve">    "nextInstruction":  "",</v>
      </c>
    </row>
    <row r="2622" spans="1:4" x14ac:dyDescent="0.55000000000000004">
      <c r="A2622" t="s">
        <v>765</v>
      </c>
      <c r="B2622" t="str">
        <f>VLOOKUP(B2619,Tabelle3!$A$2:$E$33,4,FALSE)</f>
        <v>""</v>
      </c>
      <c r="D2622" t="str">
        <f t="shared" ref="D2622:D2685" si="2155">IF(ISNUMBER(B2622),(A2622&amp;B2622),"")</f>
        <v/>
      </c>
    </row>
    <row r="2623" spans="1:4" x14ac:dyDescent="0.55000000000000004">
      <c r="A2623" t="s">
        <v>6</v>
      </c>
      <c r="D2623" t="str">
        <f t="shared" ref="D2623:D2686" si="2156">A2623</f>
        <v xml:space="preserve">  },</v>
      </c>
    </row>
    <row r="2624" spans="1:4" x14ac:dyDescent="0.55000000000000004">
      <c r="A2624" t="s">
        <v>446</v>
      </c>
      <c r="D2624" t="str">
        <f t="shared" si="2156"/>
        <v xml:space="preserve">  "36-48": {</v>
      </c>
    </row>
    <row r="2625" spans="1:4" x14ac:dyDescent="0.55000000000000004">
      <c r="A2625" t="s">
        <v>58</v>
      </c>
      <c r="B2625">
        <f t="shared" ref="B2625" si="2157">_xlfn.NUMBERVALUE(RIGHT(A2625,2))</f>
        <v>19</v>
      </c>
      <c r="D2625" t="str">
        <f t="shared" ref="D2625:D2688" si="2158">A2625&amp;","</f>
        <v xml:space="preserve">    "resultPage": 19,</v>
      </c>
    </row>
    <row r="2626" spans="1:4" x14ac:dyDescent="0.55000000000000004">
      <c r="A2626" t="s">
        <v>763</v>
      </c>
      <c r="B2626" t="str">
        <f>VLOOKUP(B2625,Tabelle3!$A$2:$E$33,3,FALSE)</f>
        <v>Struck off Balance</v>
      </c>
      <c r="C2626" t="s">
        <v>762</v>
      </c>
      <c r="D2626" t="str">
        <f t="shared" ref="D2626" si="2159">_xlfn.CONCAT(A2626:C2626)</f>
        <v xml:space="preserve">    "message":  "Struck off Balance",</v>
      </c>
    </row>
    <row r="2627" spans="1:4" x14ac:dyDescent="0.55000000000000004">
      <c r="A2627" t="s">
        <v>764</v>
      </c>
      <c r="B2627" t="str">
        <f>VLOOKUP(B2625,Tabelle3!$A$2:$E$33,5,FALSE)</f>
        <v>Only Green Only Yellow</v>
      </c>
      <c r="C2627" t="s">
        <v>762</v>
      </c>
      <c r="D2627" t="str">
        <f t="shared" si="2134"/>
        <v xml:space="preserve">    "nextInstruction":  "Only Green Only Yellow",</v>
      </c>
    </row>
    <row r="2628" spans="1:4" x14ac:dyDescent="0.55000000000000004">
      <c r="A2628" t="s">
        <v>765</v>
      </c>
      <c r="B2628">
        <f>VLOOKUP(B2625,Tabelle3!$A$2:$E$33,4,FALSE)</f>
        <v>0</v>
      </c>
      <c r="D2628" t="str">
        <f t="shared" ref="D2628:D2691" si="2160">IF(ISNUMBER(B2628),(A2628&amp;B2628),"")</f>
        <v xml:space="preserve">    "damageModifier": 0</v>
      </c>
    </row>
    <row r="2629" spans="1:4" x14ac:dyDescent="0.55000000000000004">
      <c r="A2629" t="s">
        <v>6</v>
      </c>
      <c r="D2629" t="str">
        <f t="shared" ref="D2629:D2692" si="2161">A2629</f>
        <v xml:space="preserve">  },</v>
      </c>
    </row>
    <row r="2630" spans="1:4" x14ac:dyDescent="0.55000000000000004">
      <c r="A2630" t="s">
        <v>447</v>
      </c>
      <c r="D2630" t="str">
        <f t="shared" si="2161"/>
        <v xml:space="preserve">  "38-4": {</v>
      </c>
    </row>
    <row r="2631" spans="1:4" x14ac:dyDescent="0.55000000000000004">
      <c r="A2631" t="s">
        <v>116</v>
      </c>
      <c r="B2631">
        <f t="shared" ref="B2631" si="2162">_xlfn.NUMBERVALUE(RIGHT(A2631,2))</f>
        <v>3</v>
      </c>
      <c r="D2631" t="str">
        <f t="shared" ref="D2631:D2694" si="2163">A2631&amp;","</f>
        <v xml:space="preserve">    "resultPage": 3,</v>
      </c>
    </row>
    <row r="2632" spans="1:4" x14ac:dyDescent="0.55000000000000004">
      <c r="A2632" t="s">
        <v>763</v>
      </c>
      <c r="B2632" t="str">
        <f>VLOOKUP(B2631,Tabelle3!$A$2:$E$33,3,FALSE)</f>
        <v>Swinging High</v>
      </c>
      <c r="C2632" t="s">
        <v>762</v>
      </c>
      <c r="D2632" t="str">
        <f t="shared" ref="D2632" si="2164">_xlfn.CONCAT(A2632:C2632)</f>
        <v xml:space="preserve">    "message":  "Swinging High",</v>
      </c>
    </row>
    <row r="2633" spans="1:4" x14ac:dyDescent="0.55000000000000004">
      <c r="A2633" t="s">
        <v>764</v>
      </c>
      <c r="B2633" t="str">
        <f>VLOOKUP(B2631,Tabelle3!$A$2:$E$33,5,FALSE)</f>
        <v>No Red</v>
      </c>
      <c r="C2633" t="s">
        <v>762</v>
      </c>
      <c r="D2633" t="str">
        <f t="shared" si="2134"/>
        <v xml:space="preserve">    "nextInstruction":  "No Red",</v>
      </c>
    </row>
    <row r="2634" spans="1:4" x14ac:dyDescent="0.55000000000000004">
      <c r="A2634" t="s">
        <v>765</v>
      </c>
      <c r="B2634" t="str">
        <f>VLOOKUP(B2631,Tabelle3!$A$2:$E$33,4,FALSE)</f>
        <v>""</v>
      </c>
      <c r="D2634" t="str">
        <f t="shared" ref="D2634:D2697" si="2165">IF(ISNUMBER(B2634),(A2634&amp;B2634),"")</f>
        <v/>
      </c>
    </row>
    <row r="2635" spans="1:4" x14ac:dyDescent="0.55000000000000004">
      <c r="A2635" t="s">
        <v>6</v>
      </c>
      <c r="D2635" t="str">
        <f t="shared" ref="D2635:D2698" si="2166">A2635</f>
        <v xml:space="preserve">  },</v>
      </c>
    </row>
    <row r="2636" spans="1:4" x14ac:dyDescent="0.55000000000000004">
      <c r="A2636" t="s">
        <v>448</v>
      </c>
      <c r="D2636" t="str">
        <f t="shared" si="2166"/>
        <v xml:space="preserve">  "38-6": {</v>
      </c>
    </row>
    <row r="2637" spans="1:4" x14ac:dyDescent="0.55000000000000004">
      <c r="A2637" t="s">
        <v>116</v>
      </c>
      <c r="B2637">
        <f t="shared" ref="B2637" si="2167">_xlfn.NUMBERVALUE(RIGHT(A2637,2))</f>
        <v>3</v>
      </c>
      <c r="D2637" t="str">
        <f t="shared" ref="D2637:D2700" si="2168">A2637&amp;","</f>
        <v xml:space="preserve">    "resultPage": 3,</v>
      </c>
    </row>
    <row r="2638" spans="1:4" x14ac:dyDescent="0.55000000000000004">
      <c r="A2638" t="s">
        <v>763</v>
      </c>
      <c r="B2638" t="str">
        <f>VLOOKUP(B2637,Tabelle3!$A$2:$E$33,3,FALSE)</f>
        <v>Swinging High</v>
      </c>
      <c r="C2638" t="s">
        <v>762</v>
      </c>
      <c r="D2638" t="str">
        <f t="shared" ref="D2638" si="2169">_xlfn.CONCAT(A2638:C2638)</f>
        <v xml:space="preserve">    "message":  "Swinging High",</v>
      </c>
    </row>
    <row r="2639" spans="1:4" x14ac:dyDescent="0.55000000000000004">
      <c r="A2639" t="s">
        <v>764</v>
      </c>
      <c r="B2639" t="str">
        <f>VLOOKUP(B2637,Tabelle3!$A$2:$E$33,5,FALSE)</f>
        <v>No Red</v>
      </c>
      <c r="C2639" t="s">
        <v>762</v>
      </c>
      <c r="D2639" t="str">
        <f t="shared" si="2134"/>
        <v xml:space="preserve">    "nextInstruction":  "No Red",</v>
      </c>
    </row>
    <row r="2640" spans="1:4" x14ac:dyDescent="0.55000000000000004">
      <c r="A2640" t="s">
        <v>765</v>
      </c>
      <c r="B2640" t="str">
        <f>VLOOKUP(B2637,Tabelle3!$A$2:$E$33,4,FALSE)</f>
        <v>""</v>
      </c>
      <c r="D2640" t="str">
        <f t="shared" ref="D2640:D2703" si="2170">IF(ISNUMBER(B2640),(A2640&amp;B2640),"")</f>
        <v/>
      </c>
    </row>
    <row r="2641" spans="1:4" x14ac:dyDescent="0.55000000000000004">
      <c r="A2641" t="s">
        <v>6</v>
      </c>
      <c r="D2641" t="str">
        <f t="shared" ref="D2641:D2704" si="2171">A2641</f>
        <v xml:space="preserve">  },</v>
      </c>
    </row>
    <row r="2642" spans="1:4" x14ac:dyDescent="0.55000000000000004">
      <c r="A2642" t="s">
        <v>449</v>
      </c>
      <c r="D2642" t="str">
        <f t="shared" si="2171"/>
        <v xml:space="preserve">  "38-8": {</v>
      </c>
    </row>
    <row r="2643" spans="1:4" x14ac:dyDescent="0.55000000000000004">
      <c r="A2643" t="s">
        <v>116</v>
      </c>
      <c r="B2643">
        <f t="shared" ref="B2643" si="2172">_xlfn.NUMBERVALUE(RIGHT(A2643,2))</f>
        <v>3</v>
      </c>
      <c r="D2643" t="str">
        <f t="shared" ref="D2643:D2706" si="2173">A2643&amp;","</f>
        <v xml:space="preserve">    "resultPage": 3,</v>
      </c>
    </row>
    <row r="2644" spans="1:4" x14ac:dyDescent="0.55000000000000004">
      <c r="A2644" t="s">
        <v>763</v>
      </c>
      <c r="B2644" t="str">
        <f>VLOOKUP(B2643,Tabelle3!$A$2:$E$33,3,FALSE)</f>
        <v>Swinging High</v>
      </c>
      <c r="C2644" t="s">
        <v>762</v>
      </c>
      <c r="D2644" t="str">
        <f t="shared" ref="D2644" si="2174">_xlfn.CONCAT(A2644:C2644)</f>
        <v xml:space="preserve">    "message":  "Swinging High",</v>
      </c>
    </row>
    <row r="2645" spans="1:4" x14ac:dyDescent="0.55000000000000004">
      <c r="A2645" t="s">
        <v>764</v>
      </c>
      <c r="B2645" t="str">
        <f>VLOOKUP(B2643,Tabelle3!$A$2:$E$33,5,FALSE)</f>
        <v>No Red</v>
      </c>
      <c r="C2645" t="s">
        <v>762</v>
      </c>
      <c r="D2645" t="str">
        <f t="shared" si="2134"/>
        <v xml:space="preserve">    "nextInstruction":  "No Red",</v>
      </c>
    </row>
    <row r="2646" spans="1:4" x14ac:dyDescent="0.55000000000000004">
      <c r="A2646" t="s">
        <v>765</v>
      </c>
      <c r="B2646" t="str">
        <f>VLOOKUP(B2643,Tabelle3!$A$2:$E$33,4,FALSE)</f>
        <v>""</v>
      </c>
      <c r="D2646" t="str">
        <f t="shared" ref="D2646:D2709" si="2175">IF(ISNUMBER(B2646),(A2646&amp;B2646),"")</f>
        <v/>
      </c>
    </row>
    <row r="2647" spans="1:4" x14ac:dyDescent="0.55000000000000004">
      <c r="A2647" t="s">
        <v>6</v>
      </c>
      <c r="D2647" t="str">
        <f t="shared" ref="D2647:D2710" si="2176">A2647</f>
        <v xml:space="preserve">  },</v>
      </c>
    </row>
    <row r="2648" spans="1:4" x14ac:dyDescent="0.55000000000000004">
      <c r="A2648" t="s">
        <v>450</v>
      </c>
      <c r="D2648" t="str">
        <f t="shared" si="2176"/>
        <v xml:space="preserve">  "38-10": {</v>
      </c>
    </row>
    <row r="2649" spans="1:4" x14ac:dyDescent="0.55000000000000004">
      <c r="A2649" t="s">
        <v>76</v>
      </c>
      <c r="B2649">
        <f t="shared" ref="B2649" si="2177">_xlfn.NUMBERVALUE(RIGHT(A2649,2))</f>
        <v>45</v>
      </c>
      <c r="D2649" t="str">
        <f t="shared" ref="D2649:D2712" si="2178">A2649&amp;","</f>
        <v xml:space="preserve">    "resultPage": 45,</v>
      </c>
    </row>
    <row r="2650" spans="1:4" x14ac:dyDescent="0.55000000000000004">
      <c r="A2650" t="s">
        <v>763</v>
      </c>
      <c r="B2650" t="str">
        <f>VLOOKUP(B2649,Tabelle3!$A$2:$E$33,3,FALSE)</f>
        <v>Parrying High</v>
      </c>
      <c r="C2650" t="s">
        <v>762</v>
      </c>
      <c r="D2650" t="str">
        <f t="shared" ref="D2650" si="2179">_xlfn.CONCAT(A2650:C2650)</f>
        <v xml:space="preserve">    "message":  "Parrying High",</v>
      </c>
    </row>
    <row r="2651" spans="1:4" x14ac:dyDescent="0.55000000000000004">
      <c r="A2651" t="s">
        <v>764</v>
      </c>
      <c r="B2651" t="str">
        <f>VLOOKUP(B2649,Tabelle3!$A$2:$E$33,5,FALSE)</f>
        <v/>
      </c>
      <c r="C2651" t="s">
        <v>762</v>
      </c>
      <c r="D2651" t="str">
        <f t="shared" si="2134"/>
        <v xml:space="preserve">    "nextInstruction":  "",</v>
      </c>
    </row>
    <row r="2652" spans="1:4" x14ac:dyDescent="0.55000000000000004">
      <c r="A2652" t="s">
        <v>765</v>
      </c>
      <c r="B2652">
        <f>VLOOKUP(B2649,Tabelle3!$A$2:$E$33,4,FALSE)</f>
        <v>-4</v>
      </c>
      <c r="D2652" t="str">
        <f t="shared" ref="D2652:D2715" si="2180">IF(ISNUMBER(B2652),(A2652&amp;B2652),"")</f>
        <v xml:space="preserve">    "damageModifier": -4</v>
      </c>
    </row>
    <row r="2653" spans="1:4" x14ac:dyDescent="0.55000000000000004">
      <c r="A2653" t="s">
        <v>6</v>
      </c>
      <c r="D2653" t="str">
        <f t="shared" ref="D2653:D2716" si="2181">A2653</f>
        <v xml:space="preserve">  },</v>
      </c>
    </row>
    <row r="2654" spans="1:4" x14ac:dyDescent="0.55000000000000004">
      <c r="A2654" t="s">
        <v>451</v>
      </c>
      <c r="D2654" t="str">
        <f t="shared" si="2181"/>
        <v xml:space="preserve">  "38-12": {</v>
      </c>
    </row>
    <row r="2655" spans="1:4" x14ac:dyDescent="0.55000000000000004">
      <c r="A2655" t="s">
        <v>76</v>
      </c>
      <c r="B2655">
        <f t="shared" ref="B2655" si="2182">_xlfn.NUMBERVALUE(RIGHT(A2655,2))</f>
        <v>45</v>
      </c>
      <c r="D2655" t="str">
        <f t="shared" ref="D2655:D2718" si="2183">A2655&amp;","</f>
        <v xml:space="preserve">    "resultPage": 45,</v>
      </c>
    </row>
    <row r="2656" spans="1:4" x14ac:dyDescent="0.55000000000000004">
      <c r="A2656" t="s">
        <v>763</v>
      </c>
      <c r="B2656" t="str">
        <f>VLOOKUP(B2655,Tabelle3!$A$2:$E$33,3,FALSE)</f>
        <v>Parrying High</v>
      </c>
      <c r="C2656" t="s">
        <v>762</v>
      </c>
      <c r="D2656" t="str">
        <f t="shared" ref="D2656" si="2184">_xlfn.CONCAT(A2656:C2656)</f>
        <v xml:space="preserve">    "message":  "Parrying High",</v>
      </c>
    </row>
    <row r="2657" spans="1:4" x14ac:dyDescent="0.55000000000000004">
      <c r="A2657" t="s">
        <v>764</v>
      </c>
      <c r="B2657" t="str">
        <f>VLOOKUP(B2655,Tabelle3!$A$2:$E$33,5,FALSE)</f>
        <v/>
      </c>
      <c r="C2657" t="s">
        <v>762</v>
      </c>
      <c r="D2657" t="str">
        <f t="shared" si="2134"/>
        <v xml:space="preserve">    "nextInstruction":  "",</v>
      </c>
    </row>
    <row r="2658" spans="1:4" x14ac:dyDescent="0.55000000000000004">
      <c r="A2658" t="s">
        <v>765</v>
      </c>
      <c r="B2658">
        <f>VLOOKUP(B2655,Tabelle3!$A$2:$E$33,4,FALSE)</f>
        <v>-4</v>
      </c>
      <c r="D2658" t="str">
        <f t="shared" ref="D2658:D2721" si="2185">IF(ISNUMBER(B2658),(A2658&amp;B2658),"")</f>
        <v xml:space="preserve">    "damageModifier": -4</v>
      </c>
    </row>
    <row r="2659" spans="1:4" x14ac:dyDescent="0.55000000000000004">
      <c r="A2659" t="s">
        <v>6</v>
      </c>
      <c r="D2659" t="str">
        <f t="shared" ref="D2659:D2722" si="2186">A2659</f>
        <v xml:space="preserve">  },</v>
      </c>
    </row>
    <row r="2660" spans="1:4" x14ac:dyDescent="0.55000000000000004">
      <c r="A2660" t="s">
        <v>452</v>
      </c>
      <c r="D2660" t="str">
        <f t="shared" si="2186"/>
        <v xml:space="preserve">  "38-14": {</v>
      </c>
    </row>
    <row r="2661" spans="1:4" x14ac:dyDescent="0.55000000000000004">
      <c r="A2661" t="s">
        <v>116</v>
      </c>
      <c r="B2661">
        <f t="shared" ref="B2661" si="2187">_xlfn.NUMBERVALUE(RIGHT(A2661,2))</f>
        <v>3</v>
      </c>
      <c r="D2661" t="str">
        <f t="shared" ref="D2661:D2724" si="2188">A2661&amp;","</f>
        <v xml:space="preserve">    "resultPage": 3,</v>
      </c>
    </row>
    <row r="2662" spans="1:4" x14ac:dyDescent="0.55000000000000004">
      <c r="A2662" t="s">
        <v>763</v>
      </c>
      <c r="B2662" t="str">
        <f>VLOOKUP(B2661,Tabelle3!$A$2:$E$33,3,FALSE)</f>
        <v>Swinging High</v>
      </c>
      <c r="C2662" t="s">
        <v>762</v>
      </c>
      <c r="D2662" t="str">
        <f t="shared" ref="D2662:D2723" si="2189">_xlfn.CONCAT(A2662:C2662)</f>
        <v xml:space="preserve">    "message":  "Swinging High",</v>
      </c>
    </row>
    <row r="2663" spans="1:4" x14ac:dyDescent="0.55000000000000004">
      <c r="A2663" t="s">
        <v>764</v>
      </c>
      <c r="B2663" t="str">
        <f>VLOOKUP(B2661,Tabelle3!$A$2:$E$33,5,FALSE)</f>
        <v>No Red</v>
      </c>
      <c r="C2663" t="s">
        <v>762</v>
      </c>
      <c r="D2663" t="str">
        <f t="shared" si="2189"/>
        <v xml:space="preserve">    "nextInstruction":  "No Red",</v>
      </c>
    </row>
    <row r="2664" spans="1:4" x14ac:dyDescent="0.55000000000000004">
      <c r="A2664" t="s">
        <v>765</v>
      </c>
      <c r="B2664" t="str">
        <f>VLOOKUP(B2661,Tabelle3!$A$2:$E$33,4,FALSE)</f>
        <v>""</v>
      </c>
      <c r="D2664" t="str">
        <f t="shared" ref="D2664:D2727" si="2190">IF(ISNUMBER(B2664),(A2664&amp;B2664),"")</f>
        <v/>
      </c>
    </row>
    <row r="2665" spans="1:4" x14ac:dyDescent="0.55000000000000004">
      <c r="A2665" t="s">
        <v>6</v>
      </c>
      <c r="D2665" t="str">
        <f t="shared" ref="D2665:D2728" si="2191">A2665</f>
        <v xml:space="preserve">  },</v>
      </c>
    </row>
    <row r="2666" spans="1:4" x14ac:dyDescent="0.55000000000000004">
      <c r="A2666" t="s">
        <v>453</v>
      </c>
      <c r="D2666" t="str">
        <f t="shared" si="2191"/>
        <v xml:space="preserve">  "38-16": {</v>
      </c>
    </row>
    <row r="2667" spans="1:4" x14ac:dyDescent="0.55000000000000004">
      <c r="A2667" t="s">
        <v>15</v>
      </c>
      <c r="B2667">
        <f t="shared" ref="B2667" si="2192">_xlfn.NUMBERVALUE(RIGHT(A2667,2))</f>
        <v>57</v>
      </c>
      <c r="D2667" t="str">
        <f t="shared" ref="D2667:D2730" si="2193">A2667&amp;","</f>
        <v xml:space="preserve">    "resultPage": 57,</v>
      </c>
    </row>
    <row r="2668" spans="1:4" x14ac:dyDescent="0.55000000000000004">
      <c r="A2668" t="s">
        <v>763</v>
      </c>
      <c r="B2668" t="str">
        <f>VLOOKUP(B2667,Tabelle3!$A$2:$E$33,3,FALSE)</f>
        <v>Extended Range Blocking</v>
      </c>
      <c r="C2668" t="s">
        <v>762</v>
      </c>
      <c r="D2668" t="str">
        <f t="shared" ref="D2668" si="2194">_xlfn.CONCAT(A2668:C2668)</f>
        <v xml:space="preserve">    "message":  "Extended Range Blocking",</v>
      </c>
    </row>
    <row r="2669" spans="1:4" x14ac:dyDescent="0.55000000000000004">
      <c r="A2669" t="s">
        <v>764</v>
      </c>
      <c r="B2669" t="str">
        <f>VLOOKUP(B2667,Tabelle3!$A$2:$E$33,5,FALSE)</f>
        <v>Only Extended Range</v>
      </c>
      <c r="C2669" t="s">
        <v>762</v>
      </c>
      <c r="D2669" t="str">
        <f t="shared" si="2189"/>
        <v xml:space="preserve">    "nextInstruction":  "Only Extended Range",</v>
      </c>
    </row>
    <row r="2670" spans="1:4" x14ac:dyDescent="0.55000000000000004">
      <c r="A2670" t="s">
        <v>765</v>
      </c>
      <c r="B2670" t="str">
        <f>VLOOKUP(B2667,Tabelle3!$A$2:$E$33,4,FALSE)</f>
        <v>""</v>
      </c>
      <c r="D2670" t="str">
        <f t="shared" ref="D2670:D2733" si="2195">IF(ISNUMBER(B2670),(A2670&amp;B2670),"")</f>
        <v/>
      </c>
    </row>
    <row r="2671" spans="1:4" x14ac:dyDescent="0.55000000000000004">
      <c r="A2671" t="s">
        <v>6</v>
      </c>
      <c r="D2671" t="str">
        <f t="shared" ref="D2671:D2734" si="2196">A2671</f>
        <v xml:space="preserve">  },</v>
      </c>
    </row>
    <row r="2672" spans="1:4" x14ac:dyDescent="0.55000000000000004">
      <c r="A2672" t="s">
        <v>454</v>
      </c>
      <c r="D2672" t="str">
        <f t="shared" si="2196"/>
        <v xml:space="preserve">  "38-18": {</v>
      </c>
    </row>
    <row r="2673" spans="1:4" x14ac:dyDescent="0.55000000000000004">
      <c r="A2673" t="s">
        <v>116</v>
      </c>
      <c r="B2673">
        <f t="shared" ref="B2673" si="2197">_xlfn.NUMBERVALUE(RIGHT(A2673,2))</f>
        <v>3</v>
      </c>
      <c r="D2673" t="str">
        <f t="shared" ref="D2673:D2736" si="2198">A2673&amp;","</f>
        <v xml:space="preserve">    "resultPage": 3,</v>
      </c>
    </row>
    <row r="2674" spans="1:4" x14ac:dyDescent="0.55000000000000004">
      <c r="A2674" t="s">
        <v>763</v>
      </c>
      <c r="B2674" t="str">
        <f>VLOOKUP(B2673,Tabelle3!$A$2:$E$33,3,FALSE)</f>
        <v>Swinging High</v>
      </c>
      <c r="C2674" t="s">
        <v>762</v>
      </c>
      <c r="D2674" t="str">
        <f t="shared" ref="D2674" si="2199">_xlfn.CONCAT(A2674:C2674)</f>
        <v xml:space="preserve">    "message":  "Swinging High",</v>
      </c>
    </row>
    <row r="2675" spans="1:4" x14ac:dyDescent="0.55000000000000004">
      <c r="A2675" t="s">
        <v>764</v>
      </c>
      <c r="B2675" t="str">
        <f>VLOOKUP(B2673,Tabelle3!$A$2:$E$33,5,FALSE)</f>
        <v>No Red</v>
      </c>
      <c r="C2675" t="s">
        <v>762</v>
      </c>
      <c r="D2675" t="str">
        <f t="shared" si="2189"/>
        <v xml:space="preserve">    "nextInstruction":  "No Red",</v>
      </c>
    </row>
    <row r="2676" spans="1:4" x14ac:dyDescent="0.55000000000000004">
      <c r="A2676" t="s">
        <v>765</v>
      </c>
      <c r="B2676" t="str">
        <f>VLOOKUP(B2673,Tabelle3!$A$2:$E$33,4,FALSE)</f>
        <v>""</v>
      </c>
      <c r="D2676" t="str">
        <f t="shared" ref="D2676:D2739" si="2200">IF(ISNUMBER(B2676),(A2676&amp;B2676),"")</f>
        <v/>
      </c>
    </row>
    <row r="2677" spans="1:4" x14ac:dyDescent="0.55000000000000004">
      <c r="A2677" t="s">
        <v>6</v>
      </c>
      <c r="D2677" t="str">
        <f t="shared" ref="D2677:D2740" si="2201">A2677</f>
        <v xml:space="preserve">  },</v>
      </c>
    </row>
    <row r="2678" spans="1:4" x14ac:dyDescent="0.55000000000000004">
      <c r="A2678" t="s">
        <v>455</v>
      </c>
      <c r="D2678" t="str">
        <f t="shared" si="2201"/>
        <v xml:space="preserve">  "38-20": {</v>
      </c>
    </row>
    <row r="2679" spans="1:4" x14ac:dyDescent="0.55000000000000004">
      <c r="A2679" t="s">
        <v>116</v>
      </c>
      <c r="B2679">
        <f t="shared" ref="B2679" si="2202">_xlfn.NUMBERVALUE(RIGHT(A2679,2))</f>
        <v>3</v>
      </c>
      <c r="D2679" t="str">
        <f t="shared" ref="D2679:D2742" si="2203">A2679&amp;","</f>
        <v xml:space="preserve">    "resultPage": 3,</v>
      </c>
    </row>
    <row r="2680" spans="1:4" x14ac:dyDescent="0.55000000000000004">
      <c r="A2680" t="s">
        <v>763</v>
      </c>
      <c r="B2680" t="str">
        <f>VLOOKUP(B2679,Tabelle3!$A$2:$E$33,3,FALSE)</f>
        <v>Swinging High</v>
      </c>
      <c r="C2680" t="s">
        <v>762</v>
      </c>
      <c r="D2680" t="str">
        <f t="shared" ref="D2680" si="2204">_xlfn.CONCAT(A2680:C2680)</f>
        <v xml:space="preserve">    "message":  "Swinging High",</v>
      </c>
    </row>
    <row r="2681" spans="1:4" x14ac:dyDescent="0.55000000000000004">
      <c r="A2681" t="s">
        <v>764</v>
      </c>
      <c r="B2681" t="str">
        <f>VLOOKUP(B2679,Tabelle3!$A$2:$E$33,5,FALSE)</f>
        <v>No Red</v>
      </c>
      <c r="C2681" t="s">
        <v>762</v>
      </c>
      <c r="D2681" t="str">
        <f t="shared" si="2189"/>
        <v xml:space="preserve">    "nextInstruction":  "No Red",</v>
      </c>
    </row>
    <row r="2682" spans="1:4" x14ac:dyDescent="0.55000000000000004">
      <c r="A2682" t="s">
        <v>765</v>
      </c>
      <c r="B2682" t="str">
        <f>VLOOKUP(B2679,Tabelle3!$A$2:$E$33,4,FALSE)</f>
        <v>""</v>
      </c>
      <c r="D2682" t="str">
        <f t="shared" ref="D2682:D2745" si="2205">IF(ISNUMBER(B2682),(A2682&amp;B2682),"")</f>
        <v/>
      </c>
    </row>
    <row r="2683" spans="1:4" x14ac:dyDescent="0.55000000000000004">
      <c r="A2683" t="s">
        <v>6</v>
      </c>
      <c r="D2683" t="str">
        <f t="shared" ref="D2683:D2746" si="2206">A2683</f>
        <v xml:space="preserve">  },</v>
      </c>
    </row>
    <row r="2684" spans="1:4" x14ac:dyDescent="0.55000000000000004">
      <c r="A2684" t="s">
        <v>456</v>
      </c>
      <c r="D2684" t="str">
        <f t="shared" si="2206"/>
        <v xml:space="preserve">  "38-22": {</v>
      </c>
    </row>
    <row r="2685" spans="1:4" x14ac:dyDescent="0.55000000000000004">
      <c r="A2685" t="s">
        <v>116</v>
      </c>
      <c r="B2685">
        <f t="shared" ref="B2685" si="2207">_xlfn.NUMBERVALUE(RIGHT(A2685,2))</f>
        <v>3</v>
      </c>
      <c r="D2685" t="str">
        <f t="shared" ref="D2685:D2748" si="2208">A2685&amp;","</f>
        <v xml:space="preserve">    "resultPage": 3,</v>
      </c>
    </row>
    <row r="2686" spans="1:4" x14ac:dyDescent="0.55000000000000004">
      <c r="A2686" t="s">
        <v>763</v>
      </c>
      <c r="B2686" t="str">
        <f>VLOOKUP(B2685,Tabelle3!$A$2:$E$33,3,FALSE)</f>
        <v>Swinging High</v>
      </c>
      <c r="C2686" t="s">
        <v>762</v>
      </c>
      <c r="D2686" t="str">
        <f t="shared" ref="D2686" si="2209">_xlfn.CONCAT(A2686:C2686)</f>
        <v xml:space="preserve">    "message":  "Swinging High",</v>
      </c>
    </row>
    <row r="2687" spans="1:4" x14ac:dyDescent="0.55000000000000004">
      <c r="A2687" t="s">
        <v>764</v>
      </c>
      <c r="B2687" t="str">
        <f>VLOOKUP(B2685,Tabelle3!$A$2:$E$33,5,FALSE)</f>
        <v>No Red</v>
      </c>
      <c r="C2687" t="s">
        <v>762</v>
      </c>
      <c r="D2687" t="str">
        <f t="shared" si="2189"/>
        <v xml:space="preserve">    "nextInstruction":  "No Red",</v>
      </c>
    </row>
    <row r="2688" spans="1:4" x14ac:dyDescent="0.55000000000000004">
      <c r="A2688" t="s">
        <v>765</v>
      </c>
      <c r="B2688" t="str">
        <f>VLOOKUP(B2685,Tabelle3!$A$2:$E$33,4,FALSE)</f>
        <v>""</v>
      </c>
      <c r="D2688" t="str">
        <f t="shared" ref="D2688:D2751" si="2210">IF(ISNUMBER(B2688),(A2688&amp;B2688),"")</f>
        <v/>
      </c>
    </row>
    <row r="2689" spans="1:4" x14ac:dyDescent="0.55000000000000004">
      <c r="A2689" t="s">
        <v>6</v>
      </c>
      <c r="D2689" t="str">
        <f t="shared" ref="D2689:D2752" si="2211">A2689</f>
        <v xml:space="preserve">  },</v>
      </c>
    </row>
    <row r="2690" spans="1:4" x14ac:dyDescent="0.55000000000000004">
      <c r="A2690" t="s">
        <v>457</v>
      </c>
      <c r="D2690" t="str">
        <f t="shared" si="2211"/>
        <v xml:space="preserve">  "38-24": {</v>
      </c>
    </row>
    <row r="2691" spans="1:4" x14ac:dyDescent="0.55000000000000004">
      <c r="A2691" t="s">
        <v>76</v>
      </c>
      <c r="B2691">
        <f t="shared" ref="B2691" si="2212">_xlfn.NUMBERVALUE(RIGHT(A2691,2))</f>
        <v>45</v>
      </c>
      <c r="D2691" t="str">
        <f t="shared" ref="D2691:D2754" si="2213">A2691&amp;","</f>
        <v xml:space="preserve">    "resultPage": 45,</v>
      </c>
    </row>
    <row r="2692" spans="1:4" x14ac:dyDescent="0.55000000000000004">
      <c r="A2692" t="s">
        <v>763</v>
      </c>
      <c r="B2692" t="str">
        <f>VLOOKUP(B2691,Tabelle3!$A$2:$E$33,3,FALSE)</f>
        <v>Parrying High</v>
      </c>
      <c r="C2692" t="s">
        <v>762</v>
      </c>
      <c r="D2692" t="str">
        <f t="shared" ref="D2692" si="2214">_xlfn.CONCAT(A2692:C2692)</f>
        <v xml:space="preserve">    "message":  "Parrying High",</v>
      </c>
    </row>
    <row r="2693" spans="1:4" x14ac:dyDescent="0.55000000000000004">
      <c r="A2693" t="s">
        <v>764</v>
      </c>
      <c r="B2693" t="str">
        <f>VLOOKUP(B2691,Tabelle3!$A$2:$E$33,5,FALSE)</f>
        <v/>
      </c>
      <c r="C2693" t="s">
        <v>762</v>
      </c>
      <c r="D2693" t="str">
        <f t="shared" si="2189"/>
        <v xml:space="preserve">    "nextInstruction":  "",</v>
      </c>
    </row>
    <row r="2694" spans="1:4" x14ac:dyDescent="0.55000000000000004">
      <c r="A2694" t="s">
        <v>765</v>
      </c>
      <c r="B2694">
        <f>VLOOKUP(B2691,Tabelle3!$A$2:$E$33,4,FALSE)</f>
        <v>-4</v>
      </c>
      <c r="D2694" t="str">
        <f t="shared" ref="D2694:D2757" si="2215">IF(ISNUMBER(B2694),(A2694&amp;B2694),"")</f>
        <v xml:space="preserve">    "damageModifier": -4</v>
      </c>
    </row>
    <row r="2695" spans="1:4" x14ac:dyDescent="0.55000000000000004">
      <c r="A2695" t="s">
        <v>6</v>
      </c>
      <c r="D2695" t="str">
        <f t="shared" ref="D2695:D2758" si="2216">A2695</f>
        <v xml:space="preserve">  },</v>
      </c>
    </row>
    <row r="2696" spans="1:4" x14ac:dyDescent="0.55000000000000004">
      <c r="A2696" t="s">
        <v>458</v>
      </c>
      <c r="D2696" t="str">
        <f t="shared" si="2216"/>
        <v xml:space="preserve">  "38-26": {</v>
      </c>
    </row>
    <row r="2697" spans="1:4" x14ac:dyDescent="0.55000000000000004">
      <c r="A2697" t="s">
        <v>116</v>
      </c>
      <c r="B2697">
        <f t="shared" ref="B2697" si="2217">_xlfn.NUMBERVALUE(RIGHT(A2697,2))</f>
        <v>3</v>
      </c>
      <c r="D2697" t="str">
        <f t="shared" ref="D2697:D2760" si="2218">A2697&amp;","</f>
        <v xml:space="preserve">    "resultPage": 3,</v>
      </c>
    </row>
    <row r="2698" spans="1:4" x14ac:dyDescent="0.55000000000000004">
      <c r="A2698" t="s">
        <v>763</v>
      </c>
      <c r="B2698" t="str">
        <f>VLOOKUP(B2697,Tabelle3!$A$2:$E$33,3,FALSE)</f>
        <v>Swinging High</v>
      </c>
      <c r="C2698" t="s">
        <v>762</v>
      </c>
      <c r="D2698" t="str">
        <f t="shared" ref="D2698" si="2219">_xlfn.CONCAT(A2698:C2698)</f>
        <v xml:space="preserve">    "message":  "Swinging High",</v>
      </c>
    </row>
    <row r="2699" spans="1:4" x14ac:dyDescent="0.55000000000000004">
      <c r="A2699" t="s">
        <v>764</v>
      </c>
      <c r="B2699" t="str">
        <f>VLOOKUP(B2697,Tabelle3!$A$2:$E$33,5,FALSE)</f>
        <v>No Red</v>
      </c>
      <c r="C2699" t="s">
        <v>762</v>
      </c>
      <c r="D2699" t="str">
        <f t="shared" si="2189"/>
        <v xml:space="preserve">    "nextInstruction":  "No Red",</v>
      </c>
    </row>
    <row r="2700" spans="1:4" x14ac:dyDescent="0.55000000000000004">
      <c r="A2700" t="s">
        <v>765</v>
      </c>
      <c r="B2700" t="str">
        <f>VLOOKUP(B2697,Tabelle3!$A$2:$E$33,4,FALSE)</f>
        <v>""</v>
      </c>
      <c r="D2700" t="str">
        <f t="shared" ref="D2700:D2763" si="2220">IF(ISNUMBER(B2700),(A2700&amp;B2700),"")</f>
        <v/>
      </c>
    </row>
    <row r="2701" spans="1:4" x14ac:dyDescent="0.55000000000000004">
      <c r="A2701" t="s">
        <v>6</v>
      </c>
      <c r="D2701" t="str">
        <f t="shared" ref="D2701:D2764" si="2221">A2701</f>
        <v xml:space="preserve">  },</v>
      </c>
    </row>
    <row r="2702" spans="1:4" x14ac:dyDescent="0.55000000000000004">
      <c r="A2702" t="s">
        <v>459</v>
      </c>
      <c r="D2702" t="str">
        <f t="shared" si="2221"/>
        <v xml:space="preserve">  "38-28": {</v>
      </c>
    </row>
    <row r="2703" spans="1:4" x14ac:dyDescent="0.55000000000000004">
      <c r="A2703" t="s">
        <v>274</v>
      </c>
      <c r="B2703">
        <f t="shared" ref="B2703" si="2222">_xlfn.NUMBERVALUE(RIGHT(A2703,2))</f>
        <v>27</v>
      </c>
      <c r="D2703" t="str">
        <f t="shared" ref="D2703:D2766" si="2223">A2703&amp;","</f>
        <v xml:space="preserve">    "resultPage": 27,</v>
      </c>
    </row>
    <row r="2704" spans="1:4" x14ac:dyDescent="0.55000000000000004">
      <c r="A2704" t="s">
        <v>763</v>
      </c>
      <c r="B2704" t="str">
        <f>VLOOKUP(B2703,Tabelle3!$A$2:$E$33,3,FALSE)</f>
        <v>Weapon Dislodged</v>
      </c>
      <c r="C2704" t="s">
        <v>762</v>
      </c>
      <c r="D2704" t="str">
        <f t="shared" ref="D2704" si="2224">_xlfn.CONCAT(A2704:C2704)</f>
        <v xml:space="preserve">    "message":  "Weapon Dislodged",</v>
      </c>
    </row>
    <row r="2705" spans="1:4" x14ac:dyDescent="0.55000000000000004">
      <c r="A2705" t="s">
        <v>764</v>
      </c>
      <c r="B2705" t="str">
        <f>VLOOKUP(B2703,Tabelle3!$A$2:$E$33,5,FALSE)</f>
        <v>Only Green Only Yellow Only Kicks Except Wildswings Until Weapon has been retrieved</v>
      </c>
      <c r="C2705" t="s">
        <v>762</v>
      </c>
      <c r="D2705" t="str">
        <f t="shared" si="2189"/>
        <v xml:space="preserve">    "nextInstruction":  "Only Green Only Yellow Only Kicks Except Wildswings Until Weapon has been retrieved",</v>
      </c>
    </row>
    <row r="2706" spans="1:4" x14ac:dyDescent="0.55000000000000004">
      <c r="A2706" t="s">
        <v>765</v>
      </c>
      <c r="B2706" t="str">
        <f>VLOOKUP(B2703,Tabelle3!$A$2:$E$33,4,FALSE)</f>
        <v>""</v>
      </c>
      <c r="D2706" t="str">
        <f t="shared" ref="D2706:D2769" si="2225">IF(ISNUMBER(B2706),(A2706&amp;B2706),"")</f>
        <v/>
      </c>
    </row>
    <row r="2707" spans="1:4" x14ac:dyDescent="0.55000000000000004">
      <c r="A2707" t="s">
        <v>6</v>
      </c>
      <c r="D2707" t="str">
        <f t="shared" ref="D2707:D2770" si="2226">A2707</f>
        <v xml:space="preserve">  },</v>
      </c>
    </row>
    <row r="2708" spans="1:4" x14ac:dyDescent="0.55000000000000004">
      <c r="A2708" t="s">
        <v>460</v>
      </c>
      <c r="D2708" t="str">
        <f t="shared" si="2226"/>
        <v xml:space="preserve">  "38-30": {</v>
      </c>
    </row>
    <row r="2709" spans="1:4" x14ac:dyDescent="0.55000000000000004">
      <c r="A2709" t="s">
        <v>274</v>
      </c>
      <c r="B2709">
        <f t="shared" ref="B2709" si="2227">_xlfn.NUMBERVALUE(RIGHT(A2709,2))</f>
        <v>27</v>
      </c>
      <c r="D2709" t="str">
        <f t="shared" ref="D2709:D2772" si="2228">A2709&amp;","</f>
        <v xml:space="preserve">    "resultPage": 27,</v>
      </c>
    </row>
    <row r="2710" spans="1:4" x14ac:dyDescent="0.55000000000000004">
      <c r="A2710" t="s">
        <v>763</v>
      </c>
      <c r="B2710" t="str">
        <f>VLOOKUP(B2709,Tabelle3!$A$2:$E$33,3,FALSE)</f>
        <v>Weapon Dislodged</v>
      </c>
      <c r="C2710" t="s">
        <v>762</v>
      </c>
      <c r="D2710" t="str">
        <f t="shared" ref="D2710" si="2229">_xlfn.CONCAT(A2710:C2710)</f>
        <v xml:space="preserve">    "message":  "Weapon Dislodged",</v>
      </c>
    </row>
    <row r="2711" spans="1:4" x14ac:dyDescent="0.55000000000000004">
      <c r="A2711" t="s">
        <v>764</v>
      </c>
      <c r="B2711" t="str">
        <f>VLOOKUP(B2709,Tabelle3!$A$2:$E$33,5,FALSE)</f>
        <v>Only Green Only Yellow Only Kicks Except Wildswings Until Weapon has been retrieved</v>
      </c>
      <c r="C2711" t="s">
        <v>762</v>
      </c>
      <c r="D2711" t="str">
        <f t="shared" si="2189"/>
        <v xml:space="preserve">    "nextInstruction":  "Only Green Only Yellow Only Kicks Except Wildswings Until Weapon has been retrieved",</v>
      </c>
    </row>
    <row r="2712" spans="1:4" x14ac:dyDescent="0.55000000000000004">
      <c r="A2712" t="s">
        <v>765</v>
      </c>
      <c r="B2712" t="str">
        <f>VLOOKUP(B2709,Tabelle3!$A$2:$E$33,4,FALSE)</f>
        <v>""</v>
      </c>
      <c r="D2712" t="str">
        <f t="shared" ref="D2712:D2775" si="2230">IF(ISNUMBER(B2712),(A2712&amp;B2712),"")</f>
        <v/>
      </c>
    </row>
    <row r="2713" spans="1:4" x14ac:dyDescent="0.55000000000000004">
      <c r="A2713" t="s">
        <v>6</v>
      </c>
      <c r="D2713" t="str">
        <f t="shared" ref="D2713:D2776" si="2231">A2713</f>
        <v xml:space="preserve">  },</v>
      </c>
    </row>
    <row r="2714" spans="1:4" x14ac:dyDescent="0.55000000000000004">
      <c r="A2714" t="s">
        <v>461</v>
      </c>
      <c r="D2714" t="str">
        <f t="shared" si="2231"/>
        <v xml:space="preserve">  "38-32": {</v>
      </c>
    </row>
    <row r="2715" spans="1:4" x14ac:dyDescent="0.55000000000000004">
      <c r="A2715" t="s">
        <v>76</v>
      </c>
      <c r="B2715">
        <f t="shared" ref="B2715" si="2232">_xlfn.NUMBERVALUE(RIGHT(A2715,2))</f>
        <v>45</v>
      </c>
      <c r="D2715" t="str">
        <f t="shared" ref="D2715:D2778" si="2233">A2715&amp;","</f>
        <v xml:space="preserve">    "resultPage": 45,</v>
      </c>
    </row>
    <row r="2716" spans="1:4" x14ac:dyDescent="0.55000000000000004">
      <c r="A2716" t="s">
        <v>763</v>
      </c>
      <c r="B2716" t="str">
        <f>VLOOKUP(B2715,Tabelle3!$A$2:$E$33,3,FALSE)</f>
        <v>Parrying High</v>
      </c>
      <c r="C2716" t="s">
        <v>762</v>
      </c>
      <c r="D2716" t="str">
        <f t="shared" ref="D2716" si="2234">_xlfn.CONCAT(A2716:C2716)</f>
        <v xml:space="preserve">    "message":  "Parrying High",</v>
      </c>
    </row>
    <row r="2717" spans="1:4" x14ac:dyDescent="0.55000000000000004">
      <c r="A2717" t="s">
        <v>764</v>
      </c>
      <c r="B2717" t="str">
        <f>VLOOKUP(B2715,Tabelle3!$A$2:$E$33,5,FALSE)</f>
        <v/>
      </c>
      <c r="C2717" t="s">
        <v>762</v>
      </c>
      <c r="D2717" t="str">
        <f t="shared" si="2189"/>
        <v xml:space="preserve">    "nextInstruction":  "",</v>
      </c>
    </row>
    <row r="2718" spans="1:4" x14ac:dyDescent="0.55000000000000004">
      <c r="A2718" t="s">
        <v>765</v>
      </c>
      <c r="B2718">
        <f>VLOOKUP(B2715,Tabelle3!$A$2:$E$33,4,FALSE)</f>
        <v>-4</v>
      </c>
      <c r="D2718" t="str">
        <f t="shared" ref="D2718:D2781" si="2235">IF(ISNUMBER(B2718),(A2718&amp;B2718),"")</f>
        <v xml:space="preserve">    "damageModifier": -4</v>
      </c>
    </row>
    <row r="2719" spans="1:4" x14ac:dyDescent="0.55000000000000004">
      <c r="A2719" t="s">
        <v>6</v>
      </c>
      <c r="D2719" t="str">
        <f t="shared" ref="D2719:D2782" si="2236">A2719</f>
        <v xml:space="preserve">  },</v>
      </c>
    </row>
    <row r="2720" spans="1:4" x14ac:dyDescent="0.55000000000000004">
      <c r="A2720" t="s">
        <v>462</v>
      </c>
      <c r="D2720" t="str">
        <f t="shared" si="2236"/>
        <v xml:space="preserve">  "38-34": {</v>
      </c>
    </row>
    <row r="2721" spans="1:4" x14ac:dyDescent="0.55000000000000004">
      <c r="A2721" t="s">
        <v>116</v>
      </c>
      <c r="B2721">
        <f t="shared" ref="B2721" si="2237">_xlfn.NUMBERVALUE(RIGHT(A2721,2))</f>
        <v>3</v>
      </c>
      <c r="D2721" t="str">
        <f t="shared" ref="D2721:D2784" si="2238">A2721&amp;","</f>
        <v xml:space="preserve">    "resultPage": 3,</v>
      </c>
    </row>
    <row r="2722" spans="1:4" x14ac:dyDescent="0.55000000000000004">
      <c r="A2722" t="s">
        <v>763</v>
      </c>
      <c r="B2722" t="str">
        <f>VLOOKUP(B2721,Tabelle3!$A$2:$E$33,3,FALSE)</f>
        <v>Swinging High</v>
      </c>
      <c r="C2722" t="s">
        <v>762</v>
      </c>
      <c r="D2722" t="str">
        <f t="shared" ref="D2722" si="2239">_xlfn.CONCAT(A2722:C2722)</f>
        <v xml:space="preserve">    "message":  "Swinging High",</v>
      </c>
    </row>
    <row r="2723" spans="1:4" x14ac:dyDescent="0.55000000000000004">
      <c r="A2723" t="s">
        <v>764</v>
      </c>
      <c r="B2723" t="str">
        <f>VLOOKUP(B2721,Tabelle3!$A$2:$E$33,5,FALSE)</f>
        <v>No Red</v>
      </c>
      <c r="C2723" t="s">
        <v>762</v>
      </c>
      <c r="D2723" t="str">
        <f t="shared" si="2189"/>
        <v xml:space="preserve">    "nextInstruction":  "No Red",</v>
      </c>
    </row>
    <row r="2724" spans="1:4" x14ac:dyDescent="0.55000000000000004">
      <c r="A2724" t="s">
        <v>765</v>
      </c>
      <c r="B2724" t="str">
        <f>VLOOKUP(B2721,Tabelle3!$A$2:$E$33,4,FALSE)</f>
        <v>""</v>
      </c>
      <c r="D2724" t="str">
        <f t="shared" ref="D2724:D2787" si="2240">IF(ISNUMBER(B2724),(A2724&amp;B2724),"")</f>
        <v/>
      </c>
    </row>
    <row r="2725" spans="1:4" x14ac:dyDescent="0.55000000000000004">
      <c r="A2725" t="s">
        <v>6</v>
      </c>
      <c r="D2725" t="str">
        <f t="shared" ref="D2725:D2788" si="2241">A2725</f>
        <v xml:space="preserve">  },</v>
      </c>
    </row>
    <row r="2726" spans="1:4" x14ac:dyDescent="0.55000000000000004">
      <c r="A2726" t="s">
        <v>463</v>
      </c>
      <c r="D2726" t="str">
        <f t="shared" si="2241"/>
        <v xml:space="preserve">  "38-36": {</v>
      </c>
    </row>
    <row r="2727" spans="1:4" x14ac:dyDescent="0.55000000000000004">
      <c r="A2727" t="s">
        <v>116</v>
      </c>
      <c r="B2727">
        <f t="shared" ref="B2727" si="2242">_xlfn.NUMBERVALUE(RIGHT(A2727,2))</f>
        <v>3</v>
      </c>
      <c r="D2727" t="str">
        <f t="shared" ref="D2727:D2790" si="2243">A2727&amp;","</f>
        <v xml:space="preserve">    "resultPage": 3,</v>
      </c>
    </row>
    <row r="2728" spans="1:4" x14ac:dyDescent="0.55000000000000004">
      <c r="A2728" t="s">
        <v>763</v>
      </c>
      <c r="B2728" t="str">
        <f>VLOOKUP(B2727,Tabelle3!$A$2:$E$33,3,FALSE)</f>
        <v>Swinging High</v>
      </c>
      <c r="C2728" t="s">
        <v>762</v>
      </c>
      <c r="D2728" t="str">
        <f t="shared" ref="D2728:D2789" si="2244">_xlfn.CONCAT(A2728:C2728)</f>
        <v xml:space="preserve">    "message":  "Swinging High",</v>
      </c>
    </row>
    <row r="2729" spans="1:4" x14ac:dyDescent="0.55000000000000004">
      <c r="A2729" t="s">
        <v>764</v>
      </c>
      <c r="B2729" t="str">
        <f>VLOOKUP(B2727,Tabelle3!$A$2:$E$33,5,FALSE)</f>
        <v>No Red</v>
      </c>
      <c r="C2729" t="s">
        <v>762</v>
      </c>
      <c r="D2729" t="str">
        <f t="shared" si="2244"/>
        <v xml:space="preserve">    "nextInstruction":  "No Red",</v>
      </c>
    </row>
    <row r="2730" spans="1:4" x14ac:dyDescent="0.55000000000000004">
      <c r="A2730" t="s">
        <v>765</v>
      </c>
      <c r="B2730" t="str">
        <f>VLOOKUP(B2727,Tabelle3!$A$2:$E$33,4,FALSE)</f>
        <v>""</v>
      </c>
      <c r="D2730" t="str">
        <f t="shared" ref="D2730:D2793" si="2245">IF(ISNUMBER(B2730),(A2730&amp;B2730),"")</f>
        <v/>
      </c>
    </row>
    <row r="2731" spans="1:4" x14ac:dyDescent="0.55000000000000004">
      <c r="A2731" t="s">
        <v>6</v>
      </c>
      <c r="D2731" t="str">
        <f t="shared" ref="D2731:D2794" si="2246">A2731</f>
        <v xml:space="preserve">  },</v>
      </c>
    </row>
    <row r="2732" spans="1:4" x14ac:dyDescent="0.55000000000000004">
      <c r="A2732" t="s">
        <v>464</v>
      </c>
      <c r="D2732" t="str">
        <f t="shared" si="2246"/>
        <v xml:space="preserve">  "38-38": {</v>
      </c>
    </row>
    <row r="2733" spans="1:4" x14ac:dyDescent="0.55000000000000004">
      <c r="A2733" t="s">
        <v>76</v>
      </c>
      <c r="B2733">
        <f t="shared" ref="B2733" si="2247">_xlfn.NUMBERVALUE(RIGHT(A2733,2))</f>
        <v>45</v>
      </c>
      <c r="D2733" t="str">
        <f t="shared" ref="D2733:D2796" si="2248">A2733&amp;","</f>
        <v xml:space="preserve">    "resultPage": 45,</v>
      </c>
    </row>
    <row r="2734" spans="1:4" x14ac:dyDescent="0.55000000000000004">
      <c r="A2734" t="s">
        <v>763</v>
      </c>
      <c r="B2734" t="str">
        <f>VLOOKUP(B2733,Tabelle3!$A$2:$E$33,3,FALSE)</f>
        <v>Parrying High</v>
      </c>
      <c r="C2734" t="s">
        <v>762</v>
      </c>
      <c r="D2734" t="str">
        <f t="shared" ref="D2734" si="2249">_xlfn.CONCAT(A2734:C2734)</f>
        <v xml:space="preserve">    "message":  "Parrying High",</v>
      </c>
    </row>
    <row r="2735" spans="1:4" x14ac:dyDescent="0.55000000000000004">
      <c r="A2735" t="s">
        <v>764</v>
      </c>
      <c r="B2735" t="str">
        <f>VLOOKUP(B2733,Tabelle3!$A$2:$E$33,5,FALSE)</f>
        <v/>
      </c>
      <c r="C2735" t="s">
        <v>762</v>
      </c>
      <c r="D2735" t="str">
        <f t="shared" si="2244"/>
        <v xml:space="preserve">    "nextInstruction":  "",</v>
      </c>
    </row>
    <row r="2736" spans="1:4" x14ac:dyDescent="0.55000000000000004">
      <c r="A2736" t="s">
        <v>765</v>
      </c>
      <c r="B2736">
        <f>VLOOKUP(B2733,Tabelle3!$A$2:$E$33,4,FALSE)</f>
        <v>-4</v>
      </c>
      <c r="D2736" t="str">
        <f t="shared" ref="D2736:D2799" si="2250">IF(ISNUMBER(B2736),(A2736&amp;B2736),"")</f>
        <v xml:space="preserve">    "damageModifier": -4</v>
      </c>
    </row>
    <row r="2737" spans="1:4" x14ac:dyDescent="0.55000000000000004">
      <c r="A2737" t="s">
        <v>6</v>
      </c>
      <c r="D2737" t="str">
        <f t="shared" ref="D2737:D2800" si="2251">A2737</f>
        <v xml:space="preserve">  },</v>
      </c>
    </row>
    <row r="2738" spans="1:4" x14ac:dyDescent="0.55000000000000004">
      <c r="A2738" t="s">
        <v>465</v>
      </c>
      <c r="D2738" t="str">
        <f t="shared" si="2251"/>
        <v xml:space="preserve">  "38-40": {</v>
      </c>
    </row>
    <row r="2739" spans="1:4" x14ac:dyDescent="0.55000000000000004">
      <c r="A2739" t="s">
        <v>116</v>
      </c>
      <c r="B2739">
        <f t="shared" ref="B2739" si="2252">_xlfn.NUMBERVALUE(RIGHT(A2739,2))</f>
        <v>3</v>
      </c>
      <c r="D2739" t="str">
        <f t="shared" ref="D2739:D2802" si="2253">A2739&amp;","</f>
        <v xml:space="preserve">    "resultPage": 3,</v>
      </c>
    </row>
    <row r="2740" spans="1:4" x14ac:dyDescent="0.55000000000000004">
      <c r="A2740" t="s">
        <v>763</v>
      </c>
      <c r="B2740" t="str">
        <f>VLOOKUP(B2739,Tabelle3!$A$2:$E$33,3,FALSE)</f>
        <v>Swinging High</v>
      </c>
      <c r="C2740" t="s">
        <v>762</v>
      </c>
      <c r="D2740" t="str">
        <f t="shared" ref="D2740" si="2254">_xlfn.CONCAT(A2740:C2740)</f>
        <v xml:space="preserve">    "message":  "Swinging High",</v>
      </c>
    </row>
    <row r="2741" spans="1:4" x14ac:dyDescent="0.55000000000000004">
      <c r="A2741" t="s">
        <v>764</v>
      </c>
      <c r="B2741" t="str">
        <f>VLOOKUP(B2739,Tabelle3!$A$2:$E$33,5,FALSE)</f>
        <v>No Red</v>
      </c>
      <c r="C2741" t="s">
        <v>762</v>
      </c>
      <c r="D2741" t="str">
        <f t="shared" si="2244"/>
        <v xml:space="preserve">    "nextInstruction":  "No Red",</v>
      </c>
    </row>
    <row r="2742" spans="1:4" x14ac:dyDescent="0.55000000000000004">
      <c r="A2742" t="s">
        <v>765</v>
      </c>
      <c r="B2742" t="str">
        <f>VLOOKUP(B2739,Tabelle3!$A$2:$E$33,4,FALSE)</f>
        <v>""</v>
      </c>
      <c r="D2742" t="str">
        <f t="shared" ref="D2742:D2805" si="2255">IF(ISNUMBER(B2742),(A2742&amp;B2742),"")</f>
        <v/>
      </c>
    </row>
    <row r="2743" spans="1:4" x14ac:dyDescent="0.55000000000000004">
      <c r="A2743" t="s">
        <v>6</v>
      </c>
      <c r="D2743" t="str">
        <f t="shared" ref="D2743:D2806" si="2256">A2743</f>
        <v xml:space="preserve">  },</v>
      </c>
    </row>
    <row r="2744" spans="1:4" x14ac:dyDescent="0.55000000000000004">
      <c r="A2744" t="s">
        <v>466</v>
      </c>
      <c r="D2744" t="str">
        <f t="shared" si="2256"/>
        <v xml:space="preserve">  "38-42": {</v>
      </c>
    </row>
    <row r="2745" spans="1:4" x14ac:dyDescent="0.55000000000000004">
      <c r="A2745" t="s">
        <v>138</v>
      </c>
      <c r="B2745">
        <f t="shared" ref="B2745" si="2257">_xlfn.NUMBERVALUE(RIGHT(A2745,2))</f>
        <v>13</v>
      </c>
      <c r="D2745" t="str">
        <f t="shared" ref="D2745:D2808" si="2258">A2745&amp;","</f>
        <v xml:space="preserve">    "resultPage": 13,</v>
      </c>
    </row>
    <row r="2746" spans="1:4" x14ac:dyDescent="0.55000000000000004">
      <c r="A2746" t="s">
        <v>763</v>
      </c>
      <c r="B2746" t="str">
        <f>VLOOKUP(B2745,Tabelle3!$A$2:$E$33,3,FALSE)</f>
        <v>Leg Wound</v>
      </c>
      <c r="C2746" t="s">
        <v>762</v>
      </c>
      <c r="D2746" t="str">
        <f t="shared" ref="D2746" si="2259">_xlfn.CONCAT(A2746:C2746)</f>
        <v xml:space="preserve">    "message":  "Leg Wound",</v>
      </c>
    </row>
    <row r="2747" spans="1:4" x14ac:dyDescent="0.55000000000000004">
      <c r="A2747" t="s">
        <v>764</v>
      </c>
      <c r="B2747" t="str">
        <f>VLOOKUP(B2745,Tabelle3!$A$2:$E$33,5,FALSE)</f>
        <v>No Orange</v>
      </c>
      <c r="C2747" t="s">
        <v>762</v>
      </c>
      <c r="D2747" t="str">
        <f t="shared" si="2244"/>
        <v xml:space="preserve">    "nextInstruction":  "No Orange",</v>
      </c>
    </row>
    <row r="2748" spans="1:4" x14ac:dyDescent="0.55000000000000004">
      <c r="A2748" t="s">
        <v>765</v>
      </c>
      <c r="B2748">
        <f>VLOOKUP(B2745,Tabelle3!$A$2:$E$33,4,FALSE)</f>
        <v>4</v>
      </c>
      <c r="D2748" t="str">
        <f t="shared" ref="D2748:D2811" si="2260">IF(ISNUMBER(B2748),(A2748&amp;B2748),"")</f>
        <v xml:space="preserve">    "damageModifier": 4</v>
      </c>
    </row>
    <row r="2749" spans="1:4" x14ac:dyDescent="0.55000000000000004">
      <c r="A2749" t="s">
        <v>6</v>
      </c>
      <c r="D2749" t="str">
        <f t="shared" ref="D2749:D2812" si="2261">A2749</f>
        <v xml:space="preserve">  },</v>
      </c>
    </row>
    <row r="2750" spans="1:4" x14ac:dyDescent="0.55000000000000004">
      <c r="A2750" t="s">
        <v>467</v>
      </c>
      <c r="D2750" t="str">
        <f t="shared" si="2261"/>
        <v xml:space="preserve">  "38-44": {</v>
      </c>
    </row>
    <row r="2751" spans="1:4" x14ac:dyDescent="0.55000000000000004">
      <c r="A2751" t="s">
        <v>76</v>
      </c>
      <c r="B2751">
        <f t="shared" ref="B2751" si="2262">_xlfn.NUMBERVALUE(RIGHT(A2751,2))</f>
        <v>45</v>
      </c>
      <c r="D2751" t="str">
        <f t="shared" ref="D2751:D2814" si="2263">A2751&amp;","</f>
        <v xml:space="preserve">    "resultPage": 45,</v>
      </c>
    </row>
    <row r="2752" spans="1:4" x14ac:dyDescent="0.55000000000000004">
      <c r="A2752" t="s">
        <v>763</v>
      </c>
      <c r="B2752" t="str">
        <f>VLOOKUP(B2751,Tabelle3!$A$2:$E$33,3,FALSE)</f>
        <v>Parrying High</v>
      </c>
      <c r="C2752" t="s">
        <v>762</v>
      </c>
      <c r="D2752" t="str">
        <f t="shared" ref="D2752" si="2264">_xlfn.CONCAT(A2752:C2752)</f>
        <v xml:space="preserve">    "message":  "Parrying High",</v>
      </c>
    </row>
    <row r="2753" spans="1:4" x14ac:dyDescent="0.55000000000000004">
      <c r="A2753" t="s">
        <v>764</v>
      </c>
      <c r="B2753" t="str">
        <f>VLOOKUP(B2751,Tabelle3!$A$2:$E$33,5,FALSE)</f>
        <v/>
      </c>
      <c r="C2753" t="s">
        <v>762</v>
      </c>
      <c r="D2753" t="str">
        <f t="shared" si="2244"/>
        <v xml:space="preserve">    "nextInstruction":  "",</v>
      </c>
    </row>
    <row r="2754" spans="1:4" x14ac:dyDescent="0.55000000000000004">
      <c r="A2754" t="s">
        <v>765</v>
      </c>
      <c r="B2754">
        <f>VLOOKUP(B2751,Tabelle3!$A$2:$E$33,4,FALSE)</f>
        <v>-4</v>
      </c>
      <c r="D2754" t="str">
        <f t="shared" ref="D2754:D2817" si="2265">IF(ISNUMBER(B2754),(A2754&amp;B2754),"")</f>
        <v xml:space="preserve">    "damageModifier": -4</v>
      </c>
    </row>
    <row r="2755" spans="1:4" x14ac:dyDescent="0.55000000000000004">
      <c r="A2755" t="s">
        <v>6</v>
      </c>
      <c r="D2755" t="str">
        <f t="shared" ref="D2755:D2818" si="2266">A2755</f>
        <v xml:space="preserve">  },</v>
      </c>
    </row>
    <row r="2756" spans="1:4" x14ac:dyDescent="0.55000000000000004">
      <c r="A2756" t="s">
        <v>468</v>
      </c>
      <c r="D2756" t="str">
        <f t="shared" si="2266"/>
        <v xml:space="preserve">  "38-46": {</v>
      </c>
    </row>
    <row r="2757" spans="1:4" x14ac:dyDescent="0.55000000000000004">
      <c r="A2757" t="s">
        <v>116</v>
      </c>
      <c r="B2757">
        <f t="shared" ref="B2757" si="2267">_xlfn.NUMBERVALUE(RIGHT(A2757,2))</f>
        <v>3</v>
      </c>
      <c r="D2757" t="str">
        <f t="shared" ref="D2757:D2820" si="2268">A2757&amp;","</f>
        <v xml:space="preserve">    "resultPage": 3,</v>
      </c>
    </row>
    <row r="2758" spans="1:4" x14ac:dyDescent="0.55000000000000004">
      <c r="A2758" t="s">
        <v>763</v>
      </c>
      <c r="B2758" t="str">
        <f>VLOOKUP(B2757,Tabelle3!$A$2:$E$33,3,FALSE)</f>
        <v>Swinging High</v>
      </c>
      <c r="C2758" t="s">
        <v>762</v>
      </c>
      <c r="D2758" t="str">
        <f t="shared" ref="D2758" si="2269">_xlfn.CONCAT(A2758:C2758)</f>
        <v xml:space="preserve">    "message":  "Swinging High",</v>
      </c>
    </row>
    <row r="2759" spans="1:4" x14ac:dyDescent="0.55000000000000004">
      <c r="A2759" t="s">
        <v>764</v>
      </c>
      <c r="B2759" t="str">
        <f>VLOOKUP(B2757,Tabelle3!$A$2:$E$33,5,FALSE)</f>
        <v>No Red</v>
      </c>
      <c r="C2759" t="s">
        <v>762</v>
      </c>
      <c r="D2759" t="str">
        <f t="shared" si="2244"/>
        <v xml:space="preserve">    "nextInstruction":  "No Red",</v>
      </c>
    </row>
    <row r="2760" spans="1:4" x14ac:dyDescent="0.55000000000000004">
      <c r="A2760" t="s">
        <v>765</v>
      </c>
      <c r="B2760" t="str">
        <f>VLOOKUP(B2757,Tabelle3!$A$2:$E$33,4,FALSE)</f>
        <v>""</v>
      </c>
      <c r="D2760" t="str">
        <f t="shared" ref="D2760:D2823" si="2270">IF(ISNUMBER(B2760),(A2760&amp;B2760),"")</f>
        <v/>
      </c>
    </row>
    <row r="2761" spans="1:4" x14ac:dyDescent="0.55000000000000004">
      <c r="A2761" t="s">
        <v>6</v>
      </c>
      <c r="D2761" t="str">
        <f t="shared" ref="D2761:D2824" si="2271">A2761</f>
        <v xml:space="preserve">  },</v>
      </c>
    </row>
    <row r="2762" spans="1:4" x14ac:dyDescent="0.55000000000000004">
      <c r="A2762" t="s">
        <v>469</v>
      </c>
      <c r="D2762" t="str">
        <f t="shared" si="2271"/>
        <v xml:space="preserve">  "38-48": {</v>
      </c>
    </row>
    <row r="2763" spans="1:4" x14ac:dyDescent="0.55000000000000004">
      <c r="A2763" t="s">
        <v>76</v>
      </c>
      <c r="B2763">
        <f t="shared" ref="B2763" si="2272">_xlfn.NUMBERVALUE(RIGHT(A2763,2))</f>
        <v>45</v>
      </c>
      <c r="D2763" t="str">
        <f t="shared" ref="D2763:D2826" si="2273">A2763&amp;","</f>
        <v xml:space="preserve">    "resultPage": 45,</v>
      </c>
    </row>
    <row r="2764" spans="1:4" x14ac:dyDescent="0.55000000000000004">
      <c r="A2764" t="s">
        <v>763</v>
      </c>
      <c r="B2764" t="str">
        <f>VLOOKUP(B2763,Tabelle3!$A$2:$E$33,3,FALSE)</f>
        <v>Parrying High</v>
      </c>
      <c r="C2764" t="s">
        <v>762</v>
      </c>
      <c r="D2764" t="str">
        <f t="shared" ref="D2764" si="2274">_xlfn.CONCAT(A2764:C2764)</f>
        <v xml:space="preserve">    "message":  "Parrying High",</v>
      </c>
    </row>
    <row r="2765" spans="1:4" x14ac:dyDescent="0.55000000000000004">
      <c r="A2765" t="s">
        <v>764</v>
      </c>
      <c r="B2765" t="str">
        <f>VLOOKUP(B2763,Tabelle3!$A$2:$E$33,5,FALSE)</f>
        <v/>
      </c>
      <c r="C2765" t="s">
        <v>762</v>
      </c>
      <c r="D2765" t="str">
        <f t="shared" si="2244"/>
        <v xml:space="preserve">    "nextInstruction":  "",</v>
      </c>
    </row>
    <row r="2766" spans="1:4" x14ac:dyDescent="0.55000000000000004">
      <c r="A2766" t="s">
        <v>765</v>
      </c>
      <c r="B2766">
        <f>VLOOKUP(B2763,Tabelle3!$A$2:$E$33,4,FALSE)</f>
        <v>-4</v>
      </c>
      <c r="D2766" t="str">
        <f t="shared" ref="D2766:D2829" si="2275">IF(ISNUMBER(B2766),(A2766&amp;B2766),"")</f>
        <v xml:space="preserve">    "damageModifier": -4</v>
      </c>
    </row>
    <row r="2767" spans="1:4" x14ac:dyDescent="0.55000000000000004">
      <c r="A2767" t="s">
        <v>6</v>
      </c>
      <c r="D2767" t="str">
        <f t="shared" ref="D2767:D2830" si="2276">A2767</f>
        <v xml:space="preserve">  },</v>
      </c>
    </row>
    <row r="2768" spans="1:4" x14ac:dyDescent="0.55000000000000004">
      <c r="A2768" t="s">
        <v>470</v>
      </c>
      <c r="D2768" t="str">
        <f t="shared" si="2276"/>
        <v xml:space="preserve">  "40-4": {</v>
      </c>
    </row>
    <row r="2769" spans="1:4" x14ac:dyDescent="0.55000000000000004">
      <c r="A2769" t="s">
        <v>5</v>
      </c>
      <c r="B2769">
        <f t="shared" ref="B2769" si="2277">_xlfn.NUMBERVALUE(RIGHT(A2769,2))</f>
        <v>5</v>
      </c>
      <c r="D2769" t="str">
        <f t="shared" ref="D2769:D2832" si="2278">A2769&amp;","</f>
        <v xml:space="preserve">    "resultPage": 5,</v>
      </c>
    </row>
    <row r="2770" spans="1:4" x14ac:dyDescent="0.55000000000000004">
      <c r="A2770" t="s">
        <v>763</v>
      </c>
      <c r="B2770" t="str">
        <f>VLOOKUP(B2769,Tabelle3!$A$2:$E$33,3,FALSE)</f>
        <v>Swinging Low</v>
      </c>
      <c r="C2770" t="s">
        <v>762</v>
      </c>
      <c r="D2770" t="str">
        <f t="shared" ref="D2770" si="2279">_xlfn.CONCAT(A2770:C2770)</f>
        <v xml:space="preserve">    "message":  "Swinging Low",</v>
      </c>
    </row>
    <row r="2771" spans="1:4" x14ac:dyDescent="0.55000000000000004">
      <c r="A2771" t="s">
        <v>764</v>
      </c>
      <c r="B2771" t="str">
        <f>VLOOKUP(B2769,Tabelle3!$A$2:$E$33,5,FALSE)</f>
        <v>No Blue</v>
      </c>
      <c r="C2771" t="s">
        <v>762</v>
      </c>
      <c r="D2771" t="str">
        <f t="shared" si="2244"/>
        <v xml:space="preserve">    "nextInstruction":  "No Blue",</v>
      </c>
    </row>
    <row r="2772" spans="1:4" x14ac:dyDescent="0.55000000000000004">
      <c r="A2772" t="s">
        <v>765</v>
      </c>
      <c r="B2772" t="str">
        <f>VLOOKUP(B2769,Tabelle3!$A$2:$E$33,4,FALSE)</f>
        <v>""</v>
      </c>
      <c r="D2772" t="str">
        <f t="shared" ref="D2772:D2835" si="2280">IF(ISNUMBER(B2772),(A2772&amp;B2772),"")</f>
        <v/>
      </c>
    </row>
    <row r="2773" spans="1:4" x14ac:dyDescent="0.55000000000000004">
      <c r="A2773" t="s">
        <v>6</v>
      </c>
      <c r="D2773" t="str">
        <f t="shared" ref="D2773:D2836" si="2281">A2773</f>
        <v xml:space="preserve">  },</v>
      </c>
    </row>
    <row r="2774" spans="1:4" x14ac:dyDescent="0.55000000000000004">
      <c r="A2774" t="s">
        <v>471</v>
      </c>
      <c r="D2774" t="str">
        <f t="shared" si="2281"/>
        <v xml:space="preserve">  "40-6": {</v>
      </c>
    </row>
    <row r="2775" spans="1:4" x14ac:dyDescent="0.55000000000000004">
      <c r="A2775" t="s">
        <v>5</v>
      </c>
      <c r="B2775">
        <f t="shared" ref="B2775" si="2282">_xlfn.NUMBERVALUE(RIGHT(A2775,2))</f>
        <v>5</v>
      </c>
      <c r="D2775" t="str">
        <f t="shared" ref="D2775:D2838" si="2283">A2775&amp;","</f>
        <v xml:space="preserve">    "resultPage": 5,</v>
      </c>
    </row>
    <row r="2776" spans="1:4" x14ac:dyDescent="0.55000000000000004">
      <c r="A2776" t="s">
        <v>763</v>
      </c>
      <c r="B2776" t="str">
        <f>VLOOKUP(B2775,Tabelle3!$A$2:$E$33,3,FALSE)</f>
        <v>Swinging Low</v>
      </c>
      <c r="C2776" t="s">
        <v>762</v>
      </c>
      <c r="D2776" t="str">
        <f t="shared" ref="D2776" si="2284">_xlfn.CONCAT(A2776:C2776)</f>
        <v xml:space="preserve">    "message":  "Swinging Low",</v>
      </c>
    </row>
    <row r="2777" spans="1:4" x14ac:dyDescent="0.55000000000000004">
      <c r="A2777" t="s">
        <v>764</v>
      </c>
      <c r="B2777" t="str">
        <f>VLOOKUP(B2775,Tabelle3!$A$2:$E$33,5,FALSE)</f>
        <v>No Blue</v>
      </c>
      <c r="C2777" t="s">
        <v>762</v>
      </c>
      <c r="D2777" t="str">
        <f t="shared" si="2244"/>
        <v xml:space="preserve">    "nextInstruction":  "No Blue",</v>
      </c>
    </row>
    <row r="2778" spans="1:4" x14ac:dyDescent="0.55000000000000004">
      <c r="A2778" t="s">
        <v>765</v>
      </c>
      <c r="B2778" t="str">
        <f>VLOOKUP(B2775,Tabelle3!$A$2:$E$33,4,FALSE)</f>
        <v>""</v>
      </c>
      <c r="D2778" t="str">
        <f t="shared" ref="D2778:D2841" si="2285">IF(ISNUMBER(B2778),(A2778&amp;B2778),"")</f>
        <v/>
      </c>
    </row>
    <row r="2779" spans="1:4" x14ac:dyDescent="0.55000000000000004">
      <c r="A2779" t="s">
        <v>6</v>
      </c>
      <c r="D2779" t="str">
        <f t="shared" ref="D2779:D2842" si="2286">A2779</f>
        <v xml:space="preserve">  },</v>
      </c>
    </row>
    <row r="2780" spans="1:4" x14ac:dyDescent="0.55000000000000004">
      <c r="A2780" t="s">
        <v>472</v>
      </c>
      <c r="D2780" t="str">
        <f t="shared" si="2286"/>
        <v xml:space="preserve">  "40-8": {</v>
      </c>
    </row>
    <row r="2781" spans="1:4" x14ac:dyDescent="0.55000000000000004">
      <c r="A2781" t="s">
        <v>5</v>
      </c>
      <c r="B2781">
        <f t="shared" ref="B2781" si="2287">_xlfn.NUMBERVALUE(RIGHT(A2781,2))</f>
        <v>5</v>
      </c>
      <c r="D2781" t="str">
        <f t="shared" ref="D2781:D2844" si="2288">A2781&amp;","</f>
        <v xml:space="preserve">    "resultPage": 5,</v>
      </c>
    </row>
    <row r="2782" spans="1:4" x14ac:dyDescent="0.55000000000000004">
      <c r="A2782" t="s">
        <v>763</v>
      </c>
      <c r="B2782" t="str">
        <f>VLOOKUP(B2781,Tabelle3!$A$2:$E$33,3,FALSE)</f>
        <v>Swinging Low</v>
      </c>
      <c r="C2782" t="s">
        <v>762</v>
      </c>
      <c r="D2782" t="str">
        <f t="shared" ref="D2782" si="2289">_xlfn.CONCAT(A2782:C2782)</f>
        <v xml:space="preserve">    "message":  "Swinging Low",</v>
      </c>
    </row>
    <row r="2783" spans="1:4" x14ac:dyDescent="0.55000000000000004">
      <c r="A2783" t="s">
        <v>764</v>
      </c>
      <c r="B2783" t="str">
        <f>VLOOKUP(B2781,Tabelle3!$A$2:$E$33,5,FALSE)</f>
        <v>No Blue</v>
      </c>
      <c r="C2783" t="s">
        <v>762</v>
      </c>
      <c r="D2783" t="str">
        <f t="shared" si="2244"/>
        <v xml:space="preserve">    "nextInstruction":  "No Blue",</v>
      </c>
    </row>
    <row r="2784" spans="1:4" x14ac:dyDescent="0.55000000000000004">
      <c r="A2784" t="s">
        <v>765</v>
      </c>
      <c r="B2784" t="str">
        <f>VLOOKUP(B2781,Tabelle3!$A$2:$E$33,4,FALSE)</f>
        <v>""</v>
      </c>
      <c r="D2784" t="str">
        <f t="shared" ref="D2784:D2847" si="2290">IF(ISNUMBER(B2784),(A2784&amp;B2784),"")</f>
        <v/>
      </c>
    </row>
    <row r="2785" spans="1:4" x14ac:dyDescent="0.55000000000000004">
      <c r="A2785" t="s">
        <v>6</v>
      </c>
      <c r="D2785" t="str">
        <f t="shared" ref="D2785:D2848" si="2291">A2785</f>
        <v xml:space="preserve">  },</v>
      </c>
    </row>
    <row r="2786" spans="1:4" x14ac:dyDescent="0.55000000000000004">
      <c r="A2786" t="s">
        <v>473</v>
      </c>
      <c r="D2786" t="str">
        <f t="shared" si="2291"/>
        <v xml:space="preserve">  "40-10": {</v>
      </c>
    </row>
    <row r="2787" spans="1:4" x14ac:dyDescent="0.55000000000000004">
      <c r="A2787" t="s">
        <v>20</v>
      </c>
      <c r="B2787">
        <f t="shared" ref="B2787" si="2292">_xlfn.NUMBERVALUE(RIGHT(A2787,2))</f>
        <v>53</v>
      </c>
      <c r="D2787" t="str">
        <f t="shared" ref="D2787:D2850" si="2293">A2787&amp;","</f>
        <v xml:space="preserve">    "resultPage": 53,</v>
      </c>
    </row>
    <row r="2788" spans="1:4" x14ac:dyDescent="0.55000000000000004">
      <c r="A2788" t="s">
        <v>763</v>
      </c>
      <c r="B2788" t="str">
        <f>VLOOKUP(B2787,Tabelle3!$A$2:$E$33,3,FALSE)</f>
        <v>Body Wound</v>
      </c>
      <c r="C2788" t="s">
        <v>762</v>
      </c>
      <c r="D2788" t="str">
        <f t="shared" ref="D2788" si="2294">_xlfn.CONCAT(A2788:C2788)</f>
        <v xml:space="preserve">    "message":  "Body Wound",</v>
      </c>
    </row>
    <row r="2789" spans="1:4" x14ac:dyDescent="0.55000000000000004">
      <c r="A2789" t="s">
        <v>764</v>
      </c>
      <c r="B2789" t="str">
        <f>VLOOKUP(B2787,Tabelle3!$A$2:$E$33,5,FALSE)</f>
        <v>No Red No Orange</v>
      </c>
      <c r="C2789" t="s">
        <v>762</v>
      </c>
      <c r="D2789" t="str">
        <f t="shared" si="2244"/>
        <v xml:space="preserve">    "nextInstruction":  "No Red No Orange",</v>
      </c>
    </row>
    <row r="2790" spans="1:4" x14ac:dyDescent="0.55000000000000004">
      <c r="A2790" t="s">
        <v>765</v>
      </c>
      <c r="B2790">
        <f>VLOOKUP(B2787,Tabelle3!$A$2:$E$33,4,FALSE)</f>
        <v>5</v>
      </c>
      <c r="D2790" t="str">
        <f t="shared" ref="D2790:D2853" si="2295">IF(ISNUMBER(B2790),(A2790&amp;B2790),"")</f>
        <v xml:space="preserve">    "damageModifier": 5</v>
      </c>
    </row>
    <row r="2791" spans="1:4" x14ac:dyDescent="0.55000000000000004">
      <c r="A2791" t="s">
        <v>6</v>
      </c>
      <c r="D2791" t="str">
        <f t="shared" ref="D2791:D2854" si="2296">A2791</f>
        <v xml:space="preserve">  },</v>
      </c>
    </row>
    <row r="2792" spans="1:4" x14ac:dyDescent="0.55000000000000004">
      <c r="A2792" t="s">
        <v>474</v>
      </c>
      <c r="D2792" t="str">
        <f t="shared" si="2296"/>
        <v xml:space="preserve">  "40-12": {</v>
      </c>
    </row>
    <row r="2793" spans="1:4" x14ac:dyDescent="0.55000000000000004">
      <c r="A2793" t="s">
        <v>20</v>
      </c>
      <c r="B2793">
        <f t="shared" ref="B2793" si="2297">_xlfn.NUMBERVALUE(RIGHT(A2793,2))</f>
        <v>53</v>
      </c>
      <c r="D2793" t="str">
        <f t="shared" ref="D2793:D2856" si="2298">A2793&amp;","</f>
        <v xml:space="preserve">    "resultPage": 53,</v>
      </c>
    </row>
    <row r="2794" spans="1:4" x14ac:dyDescent="0.55000000000000004">
      <c r="A2794" t="s">
        <v>763</v>
      </c>
      <c r="B2794" t="str">
        <f>VLOOKUP(B2793,Tabelle3!$A$2:$E$33,3,FALSE)</f>
        <v>Body Wound</v>
      </c>
      <c r="C2794" t="s">
        <v>762</v>
      </c>
      <c r="D2794" t="str">
        <f t="shared" ref="D2794:D2855" si="2299">_xlfn.CONCAT(A2794:C2794)</f>
        <v xml:space="preserve">    "message":  "Body Wound",</v>
      </c>
    </row>
    <row r="2795" spans="1:4" x14ac:dyDescent="0.55000000000000004">
      <c r="A2795" t="s">
        <v>764</v>
      </c>
      <c r="B2795" t="str">
        <f>VLOOKUP(B2793,Tabelle3!$A$2:$E$33,5,FALSE)</f>
        <v>No Red No Orange</v>
      </c>
      <c r="C2795" t="s">
        <v>762</v>
      </c>
      <c r="D2795" t="str">
        <f t="shared" si="2299"/>
        <v xml:space="preserve">    "nextInstruction":  "No Red No Orange",</v>
      </c>
    </row>
    <row r="2796" spans="1:4" x14ac:dyDescent="0.55000000000000004">
      <c r="A2796" t="s">
        <v>765</v>
      </c>
      <c r="B2796">
        <f>VLOOKUP(B2793,Tabelle3!$A$2:$E$33,4,FALSE)</f>
        <v>5</v>
      </c>
      <c r="D2796" t="str">
        <f t="shared" ref="D2796:D2859" si="2300">IF(ISNUMBER(B2796),(A2796&amp;B2796),"")</f>
        <v xml:space="preserve">    "damageModifier": 5</v>
      </c>
    </row>
    <row r="2797" spans="1:4" x14ac:dyDescent="0.55000000000000004">
      <c r="A2797" t="s">
        <v>6</v>
      </c>
      <c r="D2797" t="str">
        <f t="shared" ref="D2797:D2860" si="2301">A2797</f>
        <v xml:space="preserve">  },</v>
      </c>
    </row>
    <row r="2798" spans="1:4" x14ac:dyDescent="0.55000000000000004">
      <c r="A2798" t="s">
        <v>475</v>
      </c>
      <c r="D2798" t="str">
        <f t="shared" si="2301"/>
        <v xml:space="preserve">  "40-14": {</v>
      </c>
    </row>
    <row r="2799" spans="1:4" x14ac:dyDescent="0.55000000000000004">
      <c r="A2799" t="s">
        <v>13</v>
      </c>
      <c r="B2799">
        <f t="shared" ref="B2799" si="2302">_xlfn.NUMBERVALUE(RIGHT(A2799,2))</f>
        <v>49</v>
      </c>
      <c r="D2799" t="str">
        <f t="shared" ref="D2799:D2862" si="2303">A2799&amp;","</f>
        <v xml:space="preserve">    "resultPage": 49,</v>
      </c>
    </row>
    <row r="2800" spans="1:4" x14ac:dyDescent="0.55000000000000004">
      <c r="A2800" t="s">
        <v>763</v>
      </c>
      <c r="B2800" t="str">
        <f>VLOOKUP(B2799,Tabelle3!$A$2:$E$33,3,FALSE)</f>
        <v>Parrying Low</v>
      </c>
      <c r="C2800" t="s">
        <v>762</v>
      </c>
      <c r="D2800" t="str">
        <f t="shared" ref="D2800" si="2304">_xlfn.CONCAT(A2800:C2800)</f>
        <v xml:space="preserve">    "message":  "Parrying Low",</v>
      </c>
    </row>
    <row r="2801" spans="1:4" x14ac:dyDescent="0.55000000000000004">
      <c r="A2801" t="s">
        <v>764</v>
      </c>
      <c r="B2801" t="str">
        <f>VLOOKUP(B2799,Tabelle3!$A$2:$E$33,5,FALSE)</f>
        <v/>
      </c>
      <c r="C2801" t="s">
        <v>762</v>
      </c>
      <c r="D2801" t="str">
        <f t="shared" si="2299"/>
        <v xml:space="preserve">    "nextInstruction":  "",</v>
      </c>
    </row>
    <row r="2802" spans="1:4" x14ac:dyDescent="0.55000000000000004">
      <c r="A2802" t="s">
        <v>765</v>
      </c>
      <c r="B2802">
        <f>VLOOKUP(B2799,Tabelle3!$A$2:$E$33,4,FALSE)</f>
        <v>-4</v>
      </c>
      <c r="D2802" t="str">
        <f t="shared" ref="D2802:D2865" si="2305">IF(ISNUMBER(B2802),(A2802&amp;B2802),"")</f>
        <v xml:space="preserve">    "damageModifier": -4</v>
      </c>
    </row>
    <row r="2803" spans="1:4" x14ac:dyDescent="0.55000000000000004">
      <c r="A2803" t="s">
        <v>6</v>
      </c>
      <c r="D2803" t="str">
        <f t="shared" ref="D2803:D2866" si="2306">A2803</f>
        <v xml:space="preserve">  },</v>
      </c>
    </row>
    <row r="2804" spans="1:4" x14ac:dyDescent="0.55000000000000004">
      <c r="A2804" t="s">
        <v>476</v>
      </c>
      <c r="D2804" t="str">
        <f t="shared" si="2306"/>
        <v xml:space="preserve">  "40-16": {</v>
      </c>
    </row>
    <row r="2805" spans="1:4" x14ac:dyDescent="0.55000000000000004">
      <c r="A2805" t="s">
        <v>125</v>
      </c>
      <c r="B2805">
        <f t="shared" ref="B2805" si="2307">_xlfn.NUMBERVALUE(RIGHT(A2805,2))</f>
        <v>21</v>
      </c>
      <c r="D2805" t="str">
        <f t="shared" ref="D2805:D2868" si="2308">A2805&amp;","</f>
        <v xml:space="preserve">    "resultPage": 21,</v>
      </c>
    </row>
    <row r="2806" spans="1:4" x14ac:dyDescent="0.55000000000000004">
      <c r="A2806" t="s">
        <v>763</v>
      </c>
      <c r="B2806" t="str">
        <f>VLOOKUP(B2805,Tabelle3!$A$2:$E$33,3,FALSE)</f>
        <v>Turned Around</v>
      </c>
      <c r="C2806" t="s">
        <v>762</v>
      </c>
      <c r="D2806" t="str">
        <f t="shared" ref="D2806" si="2309">_xlfn.CONCAT(A2806:C2806)</f>
        <v xml:space="preserve">    "message":  "Turned Around",</v>
      </c>
    </row>
    <row r="2807" spans="1:4" x14ac:dyDescent="0.55000000000000004">
      <c r="A2807" t="s">
        <v>764</v>
      </c>
      <c r="B2807" t="str">
        <f>VLOOKUP(B2805,Tabelle3!$A$2:$E$33,5,FALSE)</f>
        <v>Only Yellow</v>
      </c>
      <c r="C2807" t="s">
        <v>762</v>
      </c>
      <c r="D2807" t="str">
        <f t="shared" si="2299"/>
        <v xml:space="preserve">    "nextInstruction":  "Only Yellow",</v>
      </c>
    </row>
    <row r="2808" spans="1:4" x14ac:dyDescent="0.55000000000000004">
      <c r="A2808" t="s">
        <v>765</v>
      </c>
      <c r="B2808">
        <f>VLOOKUP(B2805,Tabelle3!$A$2:$E$33,4,FALSE)</f>
        <v>0</v>
      </c>
      <c r="D2808" t="str">
        <f t="shared" ref="D2808:D2871" si="2310">IF(ISNUMBER(B2808),(A2808&amp;B2808),"")</f>
        <v xml:space="preserve">    "damageModifier": 0</v>
      </c>
    </row>
    <row r="2809" spans="1:4" x14ac:dyDescent="0.55000000000000004">
      <c r="A2809" t="s">
        <v>6</v>
      </c>
      <c r="D2809" t="str">
        <f t="shared" ref="D2809:D2872" si="2311">A2809</f>
        <v xml:space="preserve">  },</v>
      </c>
    </row>
    <row r="2810" spans="1:4" x14ac:dyDescent="0.55000000000000004">
      <c r="A2810" t="s">
        <v>477</v>
      </c>
      <c r="D2810" t="str">
        <f t="shared" si="2311"/>
        <v xml:space="preserve">  "40-18": {</v>
      </c>
    </row>
    <row r="2811" spans="1:4" x14ac:dyDescent="0.55000000000000004">
      <c r="A2811" t="s">
        <v>125</v>
      </c>
      <c r="B2811">
        <f t="shared" ref="B2811" si="2312">_xlfn.NUMBERVALUE(RIGHT(A2811,2))</f>
        <v>21</v>
      </c>
      <c r="D2811" t="str">
        <f t="shared" ref="D2811:D2874" si="2313">A2811&amp;","</f>
        <v xml:space="preserve">    "resultPage": 21,</v>
      </c>
    </row>
    <row r="2812" spans="1:4" x14ac:dyDescent="0.55000000000000004">
      <c r="A2812" t="s">
        <v>763</v>
      </c>
      <c r="B2812" t="str">
        <f>VLOOKUP(B2811,Tabelle3!$A$2:$E$33,3,FALSE)</f>
        <v>Turned Around</v>
      </c>
      <c r="C2812" t="s">
        <v>762</v>
      </c>
      <c r="D2812" t="str">
        <f t="shared" ref="D2812" si="2314">_xlfn.CONCAT(A2812:C2812)</f>
        <v xml:space="preserve">    "message":  "Turned Around",</v>
      </c>
    </row>
    <row r="2813" spans="1:4" x14ac:dyDescent="0.55000000000000004">
      <c r="A2813" t="s">
        <v>764</v>
      </c>
      <c r="B2813" t="str">
        <f>VLOOKUP(B2811,Tabelle3!$A$2:$E$33,5,FALSE)</f>
        <v>Only Yellow</v>
      </c>
      <c r="C2813" t="s">
        <v>762</v>
      </c>
      <c r="D2813" t="str">
        <f t="shared" si="2299"/>
        <v xml:space="preserve">    "nextInstruction":  "Only Yellow",</v>
      </c>
    </row>
    <row r="2814" spans="1:4" x14ac:dyDescent="0.55000000000000004">
      <c r="A2814" t="s">
        <v>765</v>
      </c>
      <c r="B2814">
        <f>VLOOKUP(B2811,Tabelle3!$A$2:$E$33,4,FALSE)</f>
        <v>0</v>
      </c>
      <c r="D2814" t="str">
        <f t="shared" ref="D2814:D2877" si="2315">IF(ISNUMBER(B2814),(A2814&amp;B2814),"")</f>
        <v xml:space="preserve">    "damageModifier": 0</v>
      </c>
    </row>
    <row r="2815" spans="1:4" x14ac:dyDescent="0.55000000000000004">
      <c r="A2815" t="s">
        <v>6</v>
      </c>
      <c r="D2815" t="str">
        <f t="shared" ref="D2815:D2878" si="2316">A2815</f>
        <v xml:space="preserve">  },</v>
      </c>
    </row>
    <row r="2816" spans="1:4" x14ac:dyDescent="0.55000000000000004">
      <c r="A2816" t="s">
        <v>478</v>
      </c>
      <c r="D2816" t="str">
        <f t="shared" si="2316"/>
        <v xml:space="preserve">  "40-20": {</v>
      </c>
    </row>
    <row r="2817" spans="1:4" x14ac:dyDescent="0.55000000000000004">
      <c r="A2817" t="s">
        <v>5</v>
      </c>
      <c r="B2817">
        <f t="shared" ref="B2817" si="2317">_xlfn.NUMBERVALUE(RIGHT(A2817,2))</f>
        <v>5</v>
      </c>
      <c r="D2817" t="str">
        <f t="shared" ref="D2817:D2880" si="2318">A2817&amp;","</f>
        <v xml:space="preserve">    "resultPage": 5,</v>
      </c>
    </row>
    <row r="2818" spans="1:4" x14ac:dyDescent="0.55000000000000004">
      <c r="A2818" t="s">
        <v>763</v>
      </c>
      <c r="B2818" t="str">
        <f>VLOOKUP(B2817,Tabelle3!$A$2:$E$33,3,FALSE)</f>
        <v>Swinging Low</v>
      </c>
      <c r="C2818" t="s">
        <v>762</v>
      </c>
      <c r="D2818" t="str">
        <f t="shared" ref="D2818" si="2319">_xlfn.CONCAT(A2818:C2818)</f>
        <v xml:space="preserve">    "message":  "Swinging Low",</v>
      </c>
    </row>
    <row r="2819" spans="1:4" x14ac:dyDescent="0.55000000000000004">
      <c r="A2819" t="s">
        <v>764</v>
      </c>
      <c r="B2819" t="str">
        <f>VLOOKUP(B2817,Tabelle3!$A$2:$E$33,5,FALSE)</f>
        <v>No Blue</v>
      </c>
      <c r="C2819" t="s">
        <v>762</v>
      </c>
      <c r="D2819" t="str">
        <f t="shared" si="2299"/>
        <v xml:space="preserve">    "nextInstruction":  "No Blue",</v>
      </c>
    </row>
    <row r="2820" spans="1:4" x14ac:dyDescent="0.55000000000000004">
      <c r="A2820" t="s">
        <v>765</v>
      </c>
      <c r="B2820" t="str">
        <f>VLOOKUP(B2817,Tabelle3!$A$2:$E$33,4,FALSE)</f>
        <v>""</v>
      </c>
      <c r="D2820" t="str">
        <f t="shared" ref="D2820:D2883" si="2320">IF(ISNUMBER(B2820),(A2820&amp;B2820),"")</f>
        <v/>
      </c>
    </row>
    <row r="2821" spans="1:4" x14ac:dyDescent="0.55000000000000004">
      <c r="A2821" t="s">
        <v>6</v>
      </c>
      <c r="D2821" t="str">
        <f t="shared" ref="D2821:D2884" si="2321">A2821</f>
        <v xml:space="preserve">  },</v>
      </c>
    </row>
    <row r="2822" spans="1:4" x14ac:dyDescent="0.55000000000000004">
      <c r="A2822" t="s">
        <v>479</v>
      </c>
      <c r="D2822" t="str">
        <f t="shared" si="2321"/>
        <v xml:space="preserve">  "40-22": {</v>
      </c>
    </row>
    <row r="2823" spans="1:4" x14ac:dyDescent="0.55000000000000004">
      <c r="A2823" t="s">
        <v>13</v>
      </c>
      <c r="B2823">
        <f t="shared" ref="B2823" si="2322">_xlfn.NUMBERVALUE(RIGHT(A2823,2))</f>
        <v>49</v>
      </c>
      <c r="D2823" t="str">
        <f t="shared" ref="D2823:D2886" si="2323">A2823&amp;","</f>
        <v xml:space="preserve">    "resultPage": 49,</v>
      </c>
    </row>
    <row r="2824" spans="1:4" x14ac:dyDescent="0.55000000000000004">
      <c r="A2824" t="s">
        <v>763</v>
      </c>
      <c r="B2824" t="str">
        <f>VLOOKUP(B2823,Tabelle3!$A$2:$E$33,3,FALSE)</f>
        <v>Parrying Low</v>
      </c>
      <c r="C2824" t="s">
        <v>762</v>
      </c>
      <c r="D2824" t="str">
        <f t="shared" ref="D2824" si="2324">_xlfn.CONCAT(A2824:C2824)</f>
        <v xml:space="preserve">    "message":  "Parrying Low",</v>
      </c>
    </row>
    <row r="2825" spans="1:4" x14ac:dyDescent="0.55000000000000004">
      <c r="A2825" t="s">
        <v>764</v>
      </c>
      <c r="B2825" t="str">
        <f>VLOOKUP(B2823,Tabelle3!$A$2:$E$33,5,FALSE)</f>
        <v/>
      </c>
      <c r="C2825" t="s">
        <v>762</v>
      </c>
      <c r="D2825" t="str">
        <f t="shared" si="2299"/>
        <v xml:space="preserve">    "nextInstruction":  "",</v>
      </c>
    </row>
    <row r="2826" spans="1:4" x14ac:dyDescent="0.55000000000000004">
      <c r="A2826" t="s">
        <v>765</v>
      </c>
      <c r="B2826">
        <f>VLOOKUP(B2823,Tabelle3!$A$2:$E$33,4,FALSE)</f>
        <v>-4</v>
      </c>
      <c r="D2826" t="str">
        <f t="shared" ref="D2826:D2889" si="2325">IF(ISNUMBER(B2826),(A2826&amp;B2826),"")</f>
        <v xml:space="preserve">    "damageModifier": -4</v>
      </c>
    </row>
    <row r="2827" spans="1:4" x14ac:dyDescent="0.55000000000000004">
      <c r="A2827" t="s">
        <v>6</v>
      </c>
      <c r="D2827" t="str">
        <f t="shared" ref="D2827:D2890" si="2326">A2827</f>
        <v xml:space="preserve">  },</v>
      </c>
    </row>
    <row r="2828" spans="1:4" x14ac:dyDescent="0.55000000000000004">
      <c r="A2828" t="s">
        <v>480</v>
      </c>
      <c r="D2828" t="str">
        <f t="shared" si="2326"/>
        <v xml:space="preserve">  "40-24": {</v>
      </c>
    </row>
    <row r="2829" spans="1:4" x14ac:dyDescent="0.55000000000000004">
      <c r="A2829" t="s">
        <v>125</v>
      </c>
      <c r="B2829">
        <f t="shared" ref="B2829" si="2327">_xlfn.NUMBERVALUE(RIGHT(A2829,2))</f>
        <v>21</v>
      </c>
      <c r="D2829" t="str">
        <f t="shared" ref="D2829:D2892" si="2328">A2829&amp;","</f>
        <v xml:space="preserve">    "resultPage": 21,</v>
      </c>
    </row>
    <row r="2830" spans="1:4" x14ac:dyDescent="0.55000000000000004">
      <c r="A2830" t="s">
        <v>763</v>
      </c>
      <c r="B2830" t="str">
        <f>VLOOKUP(B2829,Tabelle3!$A$2:$E$33,3,FALSE)</f>
        <v>Turned Around</v>
      </c>
      <c r="C2830" t="s">
        <v>762</v>
      </c>
      <c r="D2830" t="str">
        <f t="shared" ref="D2830" si="2329">_xlfn.CONCAT(A2830:C2830)</f>
        <v xml:space="preserve">    "message":  "Turned Around",</v>
      </c>
    </row>
    <row r="2831" spans="1:4" x14ac:dyDescent="0.55000000000000004">
      <c r="A2831" t="s">
        <v>764</v>
      </c>
      <c r="B2831" t="str">
        <f>VLOOKUP(B2829,Tabelle3!$A$2:$E$33,5,FALSE)</f>
        <v>Only Yellow</v>
      </c>
      <c r="C2831" t="s">
        <v>762</v>
      </c>
      <c r="D2831" t="str">
        <f t="shared" si="2299"/>
        <v xml:space="preserve">    "nextInstruction":  "Only Yellow",</v>
      </c>
    </row>
    <row r="2832" spans="1:4" x14ac:dyDescent="0.55000000000000004">
      <c r="A2832" t="s">
        <v>765</v>
      </c>
      <c r="B2832">
        <f>VLOOKUP(B2829,Tabelle3!$A$2:$E$33,4,FALSE)</f>
        <v>0</v>
      </c>
      <c r="D2832" t="str">
        <f t="shared" ref="D2832:D2895" si="2330">IF(ISNUMBER(B2832),(A2832&amp;B2832),"")</f>
        <v xml:space="preserve">    "damageModifier": 0</v>
      </c>
    </row>
    <row r="2833" spans="1:4" x14ac:dyDescent="0.55000000000000004">
      <c r="A2833" t="s">
        <v>6</v>
      </c>
      <c r="D2833" t="str">
        <f t="shared" ref="D2833:D2896" si="2331">A2833</f>
        <v xml:space="preserve">  },</v>
      </c>
    </row>
    <row r="2834" spans="1:4" x14ac:dyDescent="0.55000000000000004">
      <c r="A2834" t="s">
        <v>481</v>
      </c>
      <c r="D2834" t="str">
        <f t="shared" si="2331"/>
        <v xml:space="preserve">  "40-26": {</v>
      </c>
    </row>
    <row r="2835" spans="1:4" x14ac:dyDescent="0.55000000000000004">
      <c r="A2835" t="s">
        <v>5</v>
      </c>
      <c r="B2835">
        <f t="shared" ref="B2835" si="2332">_xlfn.NUMBERVALUE(RIGHT(A2835,2))</f>
        <v>5</v>
      </c>
      <c r="D2835" t="str">
        <f t="shared" ref="D2835:D2898" si="2333">A2835&amp;","</f>
        <v xml:space="preserve">    "resultPage": 5,</v>
      </c>
    </row>
    <row r="2836" spans="1:4" x14ac:dyDescent="0.55000000000000004">
      <c r="A2836" t="s">
        <v>763</v>
      </c>
      <c r="B2836" t="str">
        <f>VLOOKUP(B2835,Tabelle3!$A$2:$E$33,3,FALSE)</f>
        <v>Swinging Low</v>
      </c>
      <c r="C2836" t="s">
        <v>762</v>
      </c>
      <c r="D2836" t="str">
        <f t="shared" ref="D2836" si="2334">_xlfn.CONCAT(A2836:C2836)</f>
        <v xml:space="preserve">    "message":  "Swinging Low",</v>
      </c>
    </row>
    <row r="2837" spans="1:4" x14ac:dyDescent="0.55000000000000004">
      <c r="A2837" t="s">
        <v>764</v>
      </c>
      <c r="B2837" t="str">
        <f>VLOOKUP(B2835,Tabelle3!$A$2:$E$33,5,FALSE)</f>
        <v>No Blue</v>
      </c>
      <c r="C2837" t="s">
        <v>762</v>
      </c>
      <c r="D2837" t="str">
        <f t="shared" si="2299"/>
        <v xml:space="preserve">    "nextInstruction":  "No Blue",</v>
      </c>
    </row>
    <row r="2838" spans="1:4" x14ac:dyDescent="0.55000000000000004">
      <c r="A2838" t="s">
        <v>765</v>
      </c>
      <c r="B2838" t="str">
        <f>VLOOKUP(B2835,Tabelle3!$A$2:$E$33,4,FALSE)</f>
        <v>""</v>
      </c>
      <c r="D2838" t="str">
        <f t="shared" ref="D2838:D2901" si="2335">IF(ISNUMBER(B2838),(A2838&amp;B2838),"")</f>
        <v/>
      </c>
    </row>
    <row r="2839" spans="1:4" x14ac:dyDescent="0.55000000000000004">
      <c r="A2839" t="s">
        <v>6</v>
      </c>
      <c r="D2839" t="str">
        <f t="shared" ref="D2839:D2902" si="2336">A2839</f>
        <v xml:space="preserve">  },</v>
      </c>
    </row>
    <row r="2840" spans="1:4" x14ac:dyDescent="0.55000000000000004">
      <c r="A2840" t="s">
        <v>482</v>
      </c>
      <c r="D2840" t="str">
        <f t="shared" si="2336"/>
        <v xml:space="preserve">  "40-28": {</v>
      </c>
    </row>
    <row r="2841" spans="1:4" x14ac:dyDescent="0.55000000000000004">
      <c r="A2841" t="s">
        <v>47</v>
      </c>
      <c r="B2841">
        <f t="shared" ref="B2841" si="2337">_xlfn.NUMBERVALUE(RIGHT(A2841,2))</f>
        <v>41</v>
      </c>
      <c r="D2841" t="str">
        <f t="shared" ref="D2841:D2904" si="2338">A2841&amp;","</f>
        <v xml:space="preserve">    "resultPage": 41,</v>
      </c>
    </row>
    <row r="2842" spans="1:4" x14ac:dyDescent="0.55000000000000004">
      <c r="A2842" t="s">
        <v>763</v>
      </c>
      <c r="B2842" t="str">
        <f>VLOOKUP(B2841,Tabelle3!$A$2:$E$33,3,FALSE)</f>
        <v>Knocked Down</v>
      </c>
      <c r="C2842" t="s">
        <v>762</v>
      </c>
      <c r="D2842" t="str">
        <f t="shared" ref="D2842" si="2339">_xlfn.CONCAT(A2842:C2842)</f>
        <v xml:space="preserve">    "message":  "Knocked Down",</v>
      </c>
    </row>
    <row r="2843" spans="1:4" x14ac:dyDescent="0.55000000000000004">
      <c r="A2843" t="s">
        <v>764</v>
      </c>
      <c r="B2843" t="str">
        <f>VLOOKUP(B2841,Tabelle3!$A$2:$E$33,5,FALSE)</f>
        <v>Only Yellow No Orange</v>
      </c>
      <c r="C2843" t="s">
        <v>762</v>
      </c>
      <c r="D2843" t="str">
        <f t="shared" si="2299"/>
        <v xml:space="preserve">    "nextInstruction":  "Only Yellow No Orange",</v>
      </c>
    </row>
    <row r="2844" spans="1:4" x14ac:dyDescent="0.55000000000000004">
      <c r="A2844" t="s">
        <v>765</v>
      </c>
      <c r="B2844">
        <f>VLOOKUP(B2841,Tabelle3!$A$2:$E$33,4,FALSE)</f>
        <v>0</v>
      </c>
      <c r="D2844" t="str">
        <f t="shared" ref="D2844:D2907" si="2340">IF(ISNUMBER(B2844),(A2844&amp;B2844),"")</f>
        <v xml:space="preserve">    "damageModifier": 0</v>
      </c>
    </row>
    <row r="2845" spans="1:4" x14ac:dyDescent="0.55000000000000004">
      <c r="A2845" t="s">
        <v>6</v>
      </c>
      <c r="D2845" t="str">
        <f t="shared" ref="D2845:D2908" si="2341">A2845</f>
        <v xml:space="preserve">  },</v>
      </c>
    </row>
    <row r="2846" spans="1:4" x14ac:dyDescent="0.55000000000000004">
      <c r="A2846" t="s">
        <v>483</v>
      </c>
      <c r="D2846" t="str">
        <f t="shared" si="2341"/>
        <v xml:space="preserve">  "40-30": {</v>
      </c>
    </row>
    <row r="2847" spans="1:4" x14ac:dyDescent="0.55000000000000004">
      <c r="A2847" t="s">
        <v>5</v>
      </c>
      <c r="B2847">
        <f t="shared" ref="B2847" si="2342">_xlfn.NUMBERVALUE(RIGHT(A2847,2))</f>
        <v>5</v>
      </c>
      <c r="D2847" t="str">
        <f t="shared" ref="D2847:D2910" si="2343">A2847&amp;","</f>
        <v xml:space="preserve">    "resultPage": 5,</v>
      </c>
    </row>
    <row r="2848" spans="1:4" x14ac:dyDescent="0.55000000000000004">
      <c r="A2848" t="s">
        <v>763</v>
      </c>
      <c r="B2848" t="str">
        <f>VLOOKUP(B2847,Tabelle3!$A$2:$E$33,3,FALSE)</f>
        <v>Swinging Low</v>
      </c>
      <c r="C2848" t="s">
        <v>762</v>
      </c>
      <c r="D2848" t="str">
        <f t="shared" ref="D2848" si="2344">_xlfn.CONCAT(A2848:C2848)</f>
        <v xml:space="preserve">    "message":  "Swinging Low",</v>
      </c>
    </row>
    <row r="2849" spans="1:4" x14ac:dyDescent="0.55000000000000004">
      <c r="A2849" t="s">
        <v>764</v>
      </c>
      <c r="B2849" t="str">
        <f>VLOOKUP(B2847,Tabelle3!$A$2:$E$33,5,FALSE)</f>
        <v>No Blue</v>
      </c>
      <c r="C2849" t="s">
        <v>762</v>
      </c>
      <c r="D2849" t="str">
        <f t="shared" si="2299"/>
        <v xml:space="preserve">    "nextInstruction":  "No Blue",</v>
      </c>
    </row>
    <row r="2850" spans="1:4" x14ac:dyDescent="0.55000000000000004">
      <c r="A2850" t="s">
        <v>765</v>
      </c>
      <c r="B2850" t="str">
        <f>VLOOKUP(B2847,Tabelle3!$A$2:$E$33,4,FALSE)</f>
        <v>""</v>
      </c>
      <c r="D2850" t="str">
        <f t="shared" ref="D2850:D2913" si="2345">IF(ISNUMBER(B2850),(A2850&amp;B2850),"")</f>
        <v/>
      </c>
    </row>
    <row r="2851" spans="1:4" x14ac:dyDescent="0.55000000000000004">
      <c r="A2851" t="s">
        <v>6</v>
      </c>
      <c r="D2851" t="str">
        <f t="shared" ref="D2851:D2914" si="2346">A2851</f>
        <v xml:space="preserve">  },</v>
      </c>
    </row>
    <row r="2852" spans="1:4" x14ac:dyDescent="0.55000000000000004">
      <c r="A2852" t="s">
        <v>484</v>
      </c>
      <c r="D2852" t="str">
        <f t="shared" si="2346"/>
        <v xml:space="preserve">  "40-32": {</v>
      </c>
    </row>
    <row r="2853" spans="1:4" x14ac:dyDescent="0.55000000000000004">
      <c r="A2853" t="s">
        <v>5</v>
      </c>
      <c r="B2853">
        <f t="shared" ref="B2853" si="2347">_xlfn.NUMBERVALUE(RIGHT(A2853,2))</f>
        <v>5</v>
      </c>
      <c r="D2853" t="str">
        <f t="shared" ref="D2853:D2916" si="2348">A2853&amp;","</f>
        <v xml:space="preserve">    "resultPage": 5,</v>
      </c>
    </row>
    <row r="2854" spans="1:4" x14ac:dyDescent="0.55000000000000004">
      <c r="A2854" t="s">
        <v>763</v>
      </c>
      <c r="B2854" t="str">
        <f>VLOOKUP(B2853,Tabelle3!$A$2:$E$33,3,FALSE)</f>
        <v>Swinging Low</v>
      </c>
      <c r="C2854" t="s">
        <v>762</v>
      </c>
      <c r="D2854" t="str">
        <f t="shared" ref="D2854" si="2349">_xlfn.CONCAT(A2854:C2854)</f>
        <v xml:space="preserve">    "message":  "Swinging Low",</v>
      </c>
    </row>
    <row r="2855" spans="1:4" x14ac:dyDescent="0.55000000000000004">
      <c r="A2855" t="s">
        <v>764</v>
      </c>
      <c r="B2855" t="str">
        <f>VLOOKUP(B2853,Tabelle3!$A$2:$E$33,5,FALSE)</f>
        <v>No Blue</v>
      </c>
      <c r="C2855" t="s">
        <v>762</v>
      </c>
      <c r="D2855" t="str">
        <f t="shared" si="2299"/>
        <v xml:space="preserve">    "nextInstruction":  "No Blue",</v>
      </c>
    </row>
    <row r="2856" spans="1:4" x14ac:dyDescent="0.55000000000000004">
      <c r="A2856" t="s">
        <v>765</v>
      </c>
      <c r="B2856" t="str">
        <f>VLOOKUP(B2853,Tabelle3!$A$2:$E$33,4,FALSE)</f>
        <v>""</v>
      </c>
      <c r="D2856" t="str">
        <f t="shared" ref="D2856:D2919" si="2350">IF(ISNUMBER(B2856),(A2856&amp;B2856),"")</f>
        <v/>
      </c>
    </row>
    <row r="2857" spans="1:4" x14ac:dyDescent="0.55000000000000004">
      <c r="A2857" t="s">
        <v>6</v>
      </c>
      <c r="D2857" t="str">
        <f t="shared" ref="D2857:D2920" si="2351">A2857</f>
        <v xml:space="preserve">  },</v>
      </c>
    </row>
    <row r="2858" spans="1:4" x14ac:dyDescent="0.55000000000000004">
      <c r="A2858" t="s">
        <v>485</v>
      </c>
      <c r="D2858" t="str">
        <f t="shared" si="2351"/>
        <v xml:space="preserve">  "40-34": {</v>
      </c>
    </row>
    <row r="2859" spans="1:4" x14ac:dyDescent="0.55000000000000004">
      <c r="A2859" t="s">
        <v>47</v>
      </c>
      <c r="B2859">
        <f t="shared" ref="B2859" si="2352">_xlfn.NUMBERVALUE(RIGHT(A2859,2))</f>
        <v>41</v>
      </c>
      <c r="D2859" t="str">
        <f t="shared" ref="D2859:D2922" si="2353">A2859&amp;","</f>
        <v xml:space="preserve">    "resultPage": 41,</v>
      </c>
    </row>
    <row r="2860" spans="1:4" x14ac:dyDescent="0.55000000000000004">
      <c r="A2860" t="s">
        <v>763</v>
      </c>
      <c r="B2860" t="str">
        <f>VLOOKUP(B2859,Tabelle3!$A$2:$E$33,3,FALSE)</f>
        <v>Knocked Down</v>
      </c>
      <c r="C2860" t="s">
        <v>762</v>
      </c>
      <c r="D2860" t="str">
        <f t="shared" ref="D2860:D2921" si="2354">_xlfn.CONCAT(A2860:C2860)</f>
        <v xml:space="preserve">    "message":  "Knocked Down",</v>
      </c>
    </row>
    <row r="2861" spans="1:4" x14ac:dyDescent="0.55000000000000004">
      <c r="A2861" t="s">
        <v>764</v>
      </c>
      <c r="B2861" t="str">
        <f>VLOOKUP(B2859,Tabelle3!$A$2:$E$33,5,FALSE)</f>
        <v>Only Yellow No Orange</v>
      </c>
      <c r="C2861" t="s">
        <v>762</v>
      </c>
      <c r="D2861" t="str">
        <f t="shared" si="2354"/>
        <v xml:space="preserve">    "nextInstruction":  "Only Yellow No Orange",</v>
      </c>
    </row>
    <row r="2862" spans="1:4" x14ac:dyDescent="0.55000000000000004">
      <c r="A2862" t="s">
        <v>765</v>
      </c>
      <c r="B2862">
        <f>VLOOKUP(B2859,Tabelle3!$A$2:$E$33,4,FALSE)</f>
        <v>0</v>
      </c>
      <c r="D2862" t="str">
        <f t="shared" ref="D2862:D2925" si="2355">IF(ISNUMBER(B2862),(A2862&amp;B2862),"")</f>
        <v xml:space="preserve">    "damageModifier": 0</v>
      </c>
    </row>
    <row r="2863" spans="1:4" x14ac:dyDescent="0.55000000000000004">
      <c r="A2863" t="s">
        <v>6</v>
      </c>
      <c r="D2863" t="str">
        <f t="shared" ref="D2863:D2926" si="2356">A2863</f>
        <v xml:space="preserve">  },</v>
      </c>
    </row>
    <row r="2864" spans="1:4" x14ac:dyDescent="0.55000000000000004">
      <c r="A2864" t="s">
        <v>486</v>
      </c>
      <c r="D2864" t="str">
        <f t="shared" si="2356"/>
        <v xml:space="preserve">  "40-36": {</v>
      </c>
    </row>
    <row r="2865" spans="1:4" x14ac:dyDescent="0.55000000000000004">
      <c r="A2865" t="s">
        <v>23</v>
      </c>
      <c r="B2865">
        <f t="shared" ref="B2865" si="2357">_xlfn.NUMBERVALUE(RIGHT(A2865,2))</f>
        <v>7</v>
      </c>
      <c r="D2865" t="str">
        <f t="shared" ref="D2865:D2928" si="2358">A2865&amp;","</f>
        <v xml:space="preserve">    "resultPage": 7,</v>
      </c>
    </row>
    <row r="2866" spans="1:4" x14ac:dyDescent="0.55000000000000004">
      <c r="A2866" t="s">
        <v>763</v>
      </c>
      <c r="B2866" t="str">
        <f>VLOOKUP(B2865,Tabelle3!$A$2:$E$33,3,FALSE)</f>
        <v>Dazed</v>
      </c>
      <c r="C2866" t="s">
        <v>762</v>
      </c>
      <c r="D2866" t="str">
        <f t="shared" ref="D2866" si="2359">_xlfn.CONCAT(A2866:C2866)</f>
        <v xml:space="preserve">    "message":  "Dazed",</v>
      </c>
    </row>
    <row r="2867" spans="1:4" x14ac:dyDescent="0.55000000000000004">
      <c r="A2867" t="s">
        <v>764</v>
      </c>
      <c r="B2867" t="str">
        <f>VLOOKUP(B2865,Tabelle3!$A$2:$E$33,5,FALSE)</f>
        <v>Only Green Only Yellow</v>
      </c>
      <c r="C2867" t="s">
        <v>762</v>
      </c>
      <c r="D2867" t="str">
        <f t="shared" si="2354"/>
        <v xml:space="preserve">    "nextInstruction":  "Only Green Only Yellow",</v>
      </c>
    </row>
    <row r="2868" spans="1:4" x14ac:dyDescent="0.55000000000000004">
      <c r="A2868" t="s">
        <v>765</v>
      </c>
      <c r="B2868">
        <f>VLOOKUP(B2865,Tabelle3!$A$2:$E$33,4,FALSE)</f>
        <v>7</v>
      </c>
      <c r="D2868" t="str">
        <f t="shared" ref="D2868:D2931" si="2360">IF(ISNUMBER(B2868),(A2868&amp;B2868),"")</f>
        <v xml:space="preserve">    "damageModifier": 7</v>
      </c>
    </row>
    <row r="2869" spans="1:4" x14ac:dyDescent="0.55000000000000004">
      <c r="A2869" t="s">
        <v>6</v>
      </c>
      <c r="D2869" t="str">
        <f t="shared" ref="D2869:D2932" si="2361">A2869</f>
        <v xml:space="preserve">  },</v>
      </c>
    </row>
    <row r="2870" spans="1:4" x14ac:dyDescent="0.55000000000000004">
      <c r="A2870" t="s">
        <v>487</v>
      </c>
      <c r="D2870" t="str">
        <f t="shared" si="2361"/>
        <v xml:space="preserve">  "40-38": {</v>
      </c>
    </row>
    <row r="2871" spans="1:4" x14ac:dyDescent="0.55000000000000004">
      <c r="A2871" t="s">
        <v>5</v>
      </c>
      <c r="B2871">
        <f t="shared" ref="B2871" si="2362">_xlfn.NUMBERVALUE(RIGHT(A2871,2))</f>
        <v>5</v>
      </c>
      <c r="D2871" t="str">
        <f t="shared" ref="D2871:D2934" si="2363">A2871&amp;","</f>
        <v xml:space="preserve">    "resultPage": 5,</v>
      </c>
    </row>
    <row r="2872" spans="1:4" x14ac:dyDescent="0.55000000000000004">
      <c r="A2872" t="s">
        <v>763</v>
      </c>
      <c r="B2872" t="str">
        <f>VLOOKUP(B2871,Tabelle3!$A$2:$E$33,3,FALSE)</f>
        <v>Swinging Low</v>
      </c>
      <c r="C2872" t="s">
        <v>762</v>
      </c>
      <c r="D2872" t="str">
        <f t="shared" ref="D2872" si="2364">_xlfn.CONCAT(A2872:C2872)</f>
        <v xml:space="preserve">    "message":  "Swinging Low",</v>
      </c>
    </row>
    <row r="2873" spans="1:4" x14ac:dyDescent="0.55000000000000004">
      <c r="A2873" t="s">
        <v>764</v>
      </c>
      <c r="B2873" t="str">
        <f>VLOOKUP(B2871,Tabelle3!$A$2:$E$33,5,FALSE)</f>
        <v>No Blue</v>
      </c>
      <c r="C2873" t="s">
        <v>762</v>
      </c>
      <c r="D2873" t="str">
        <f t="shared" si="2354"/>
        <v xml:space="preserve">    "nextInstruction":  "No Blue",</v>
      </c>
    </row>
    <row r="2874" spans="1:4" x14ac:dyDescent="0.55000000000000004">
      <c r="A2874" t="s">
        <v>765</v>
      </c>
      <c r="B2874" t="str">
        <f>VLOOKUP(B2871,Tabelle3!$A$2:$E$33,4,FALSE)</f>
        <v>""</v>
      </c>
      <c r="D2874" t="str">
        <f t="shared" ref="D2874:D2937" si="2365">IF(ISNUMBER(B2874),(A2874&amp;B2874),"")</f>
        <v/>
      </c>
    </row>
    <row r="2875" spans="1:4" x14ac:dyDescent="0.55000000000000004">
      <c r="A2875" t="s">
        <v>6</v>
      </c>
      <c r="D2875" t="str">
        <f t="shared" ref="D2875:D2938" si="2366">A2875</f>
        <v xml:space="preserve">  },</v>
      </c>
    </row>
    <row r="2876" spans="1:4" x14ac:dyDescent="0.55000000000000004">
      <c r="A2876" t="s">
        <v>488</v>
      </c>
      <c r="D2876" t="str">
        <f t="shared" si="2366"/>
        <v xml:space="preserve">  "40-40": {</v>
      </c>
    </row>
    <row r="2877" spans="1:4" x14ac:dyDescent="0.55000000000000004">
      <c r="A2877" t="s">
        <v>5</v>
      </c>
      <c r="B2877">
        <f t="shared" ref="B2877" si="2367">_xlfn.NUMBERVALUE(RIGHT(A2877,2))</f>
        <v>5</v>
      </c>
      <c r="D2877" t="str">
        <f t="shared" ref="D2877:D2940" si="2368">A2877&amp;","</f>
        <v xml:space="preserve">    "resultPage": 5,</v>
      </c>
    </row>
    <row r="2878" spans="1:4" x14ac:dyDescent="0.55000000000000004">
      <c r="A2878" t="s">
        <v>763</v>
      </c>
      <c r="B2878" t="str">
        <f>VLOOKUP(B2877,Tabelle3!$A$2:$E$33,3,FALSE)</f>
        <v>Swinging Low</v>
      </c>
      <c r="C2878" t="s">
        <v>762</v>
      </c>
      <c r="D2878" t="str">
        <f t="shared" ref="D2878" si="2369">_xlfn.CONCAT(A2878:C2878)</f>
        <v xml:space="preserve">    "message":  "Swinging Low",</v>
      </c>
    </row>
    <row r="2879" spans="1:4" x14ac:dyDescent="0.55000000000000004">
      <c r="A2879" t="s">
        <v>764</v>
      </c>
      <c r="B2879" t="str">
        <f>VLOOKUP(B2877,Tabelle3!$A$2:$E$33,5,FALSE)</f>
        <v>No Blue</v>
      </c>
      <c r="C2879" t="s">
        <v>762</v>
      </c>
      <c r="D2879" t="str">
        <f t="shared" si="2354"/>
        <v xml:space="preserve">    "nextInstruction":  "No Blue",</v>
      </c>
    </row>
    <row r="2880" spans="1:4" x14ac:dyDescent="0.55000000000000004">
      <c r="A2880" t="s">
        <v>765</v>
      </c>
      <c r="B2880" t="str">
        <f>VLOOKUP(B2877,Tabelle3!$A$2:$E$33,4,FALSE)</f>
        <v>""</v>
      </c>
      <c r="D2880" t="str">
        <f t="shared" ref="D2880:D2943" si="2370">IF(ISNUMBER(B2880),(A2880&amp;B2880),"")</f>
        <v/>
      </c>
    </row>
    <row r="2881" spans="1:4" x14ac:dyDescent="0.55000000000000004">
      <c r="A2881" t="s">
        <v>6</v>
      </c>
      <c r="D2881" t="str">
        <f t="shared" ref="D2881:D2944" si="2371">A2881</f>
        <v xml:space="preserve">  },</v>
      </c>
    </row>
    <row r="2882" spans="1:4" x14ac:dyDescent="0.55000000000000004">
      <c r="A2882" t="s">
        <v>489</v>
      </c>
      <c r="D2882" t="str">
        <f t="shared" si="2371"/>
        <v xml:space="preserve">  "40-42": {</v>
      </c>
    </row>
    <row r="2883" spans="1:4" x14ac:dyDescent="0.55000000000000004">
      <c r="A2883" t="s">
        <v>13</v>
      </c>
      <c r="B2883">
        <f t="shared" ref="B2883" si="2372">_xlfn.NUMBERVALUE(RIGHT(A2883,2))</f>
        <v>49</v>
      </c>
      <c r="D2883" t="str">
        <f t="shared" ref="D2883:D2946" si="2373">A2883&amp;","</f>
        <v xml:space="preserve">    "resultPage": 49,</v>
      </c>
    </row>
    <row r="2884" spans="1:4" x14ac:dyDescent="0.55000000000000004">
      <c r="A2884" t="s">
        <v>763</v>
      </c>
      <c r="B2884" t="str">
        <f>VLOOKUP(B2883,Tabelle3!$A$2:$E$33,3,FALSE)</f>
        <v>Parrying Low</v>
      </c>
      <c r="C2884" t="s">
        <v>762</v>
      </c>
      <c r="D2884" t="str">
        <f t="shared" ref="D2884" si="2374">_xlfn.CONCAT(A2884:C2884)</f>
        <v xml:space="preserve">    "message":  "Parrying Low",</v>
      </c>
    </row>
    <row r="2885" spans="1:4" x14ac:dyDescent="0.55000000000000004">
      <c r="A2885" t="s">
        <v>764</v>
      </c>
      <c r="B2885" t="str">
        <f>VLOOKUP(B2883,Tabelle3!$A$2:$E$33,5,FALSE)</f>
        <v/>
      </c>
      <c r="C2885" t="s">
        <v>762</v>
      </c>
      <c r="D2885" t="str">
        <f t="shared" si="2354"/>
        <v xml:space="preserve">    "nextInstruction":  "",</v>
      </c>
    </row>
    <row r="2886" spans="1:4" x14ac:dyDescent="0.55000000000000004">
      <c r="A2886" t="s">
        <v>765</v>
      </c>
      <c r="B2886">
        <f>VLOOKUP(B2883,Tabelle3!$A$2:$E$33,4,FALSE)</f>
        <v>-4</v>
      </c>
      <c r="D2886" t="str">
        <f t="shared" ref="D2886:D2949" si="2375">IF(ISNUMBER(B2886),(A2886&amp;B2886),"")</f>
        <v xml:space="preserve">    "damageModifier": -4</v>
      </c>
    </row>
    <row r="2887" spans="1:4" x14ac:dyDescent="0.55000000000000004">
      <c r="A2887" t="s">
        <v>6</v>
      </c>
      <c r="D2887" t="str">
        <f t="shared" ref="D2887:D2950" si="2376">A2887</f>
        <v xml:space="preserve">  },</v>
      </c>
    </row>
    <row r="2888" spans="1:4" x14ac:dyDescent="0.55000000000000004">
      <c r="A2888" t="s">
        <v>490</v>
      </c>
      <c r="D2888" t="str">
        <f t="shared" si="2376"/>
        <v xml:space="preserve">  "40-44": {</v>
      </c>
    </row>
    <row r="2889" spans="1:4" x14ac:dyDescent="0.55000000000000004">
      <c r="A2889" t="s">
        <v>58</v>
      </c>
      <c r="B2889">
        <f t="shared" ref="B2889" si="2377">_xlfn.NUMBERVALUE(RIGHT(A2889,2))</f>
        <v>19</v>
      </c>
      <c r="D2889" t="str">
        <f t="shared" ref="D2889:D2952" si="2378">A2889&amp;","</f>
        <v xml:space="preserve">    "resultPage": 19,</v>
      </c>
    </row>
    <row r="2890" spans="1:4" x14ac:dyDescent="0.55000000000000004">
      <c r="A2890" t="s">
        <v>763</v>
      </c>
      <c r="B2890" t="str">
        <f>VLOOKUP(B2889,Tabelle3!$A$2:$E$33,3,FALSE)</f>
        <v>Struck off Balance</v>
      </c>
      <c r="C2890" t="s">
        <v>762</v>
      </c>
      <c r="D2890" t="str">
        <f t="shared" ref="D2890" si="2379">_xlfn.CONCAT(A2890:C2890)</f>
        <v xml:space="preserve">    "message":  "Struck off Balance",</v>
      </c>
    </row>
    <row r="2891" spans="1:4" x14ac:dyDescent="0.55000000000000004">
      <c r="A2891" t="s">
        <v>764</v>
      </c>
      <c r="B2891" t="str">
        <f>VLOOKUP(B2889,Tabelle3!$A$2:$E$33,5,FALSE)</f>
        <v>Only Green Only Yellow</v>
      </c>
      <c r="C2891" t="s">
        <v>762</v>
      </c>
      <c r="D2891" t="str">
        <f t="shared" si="2354"/>
        <v xml:space="preserve">    "nextInstruction":  "Only Green Only Yellow",</v>
      </c>
    </row>
    <row r="2892" spans="1:4" x14ac:dyDescent="0.55000000000000004">
      <c r="A2892" t="s">
        <v>765</v>
      </c>
      <c r="B2892">
        <f>VLOOKUP(B2889,Tabelle3!$A$2:$E$33,4,FALSE)</f>
        <v>0</v>
      </c>
      <c r="D2892" t="str">
        <f t="shared" ref="D2892:D2955" si="2380">IF(ISNUMBER(B2892),(A2892&amp;B2892),"")</f>
        <v xml:space="preserve">    "damageModifier": 0</v>
      </c>
    </row>
    <row r="2893" spans="1:4" x14ac:dyDescent="0.55000000000000004">
      <c r="A2893" t="s">
        <v>6</v>
      </c>
      <c r="D2893" t="str">
        <f t="shared" ref="D2893:D2956" si="2381">A2893</f>
        <v xml:space="preserve">  },</v>
      </c>
    </row>
    <row r="2894" spans="1:4" x14ac:dyDescent="0.55000000000000004">
      <c r="A2894" t="s">
        <v>491</v>
      </c>
      <c r="D2894" t="str">
        <f t="shared" si="2381"/>
        <v xml:space="preserve">  "40-46": {</v>
      </c>
    </row>
    <row r="2895" spans="1:4" x14ac:dyDescent="0.55000000000000004">
      <c r="A2895" t="s">
        <v>5</v>
      </c>
      <c r="B2895">
        <f t="shared" ref="B2895" si="2382">_xlfn.NUMBERVALUE(RIGHT(A2895,2))</f>
        <v>5</v>
      </c>
      <c r="D2895" t="str">
        <f t="shared" ref="D2895:D2958" si="2383">A2895&amp;","</f>
        <v xml:space="preserve">    "resultPage": 5,</v>
      </c>
    </row>
    <row r="2896" spans="1:4" x14ac:dyDescent="0.55000000000000004">
      <c r="A2896" t="s">
        <v>763</v>
      </c>
      <c r="B2896" t="str">
        <f>VLOOKUP(B2895,Tabelle3!$A$2:$E$33,3,FALSE)</f>
        <v>Swinging Low</v>
      </c>
      <c r="C2896" t="s">
        <v>762</v>
      </c>
      <c r="D2896" t="str">
        <f t="shared" ref="D2896" si="2384">_xlfn.CONCAT(A2896:C2896)</f>
        <v xml:space="preserve">    "message":  "Swinging Low",</v>
      </c>
    </row>
    <row r="2897" spans="1:4" x14ac:dyDescent="0.55000000000000004">
      <c r="A2897" t="s">
        <v>764</v>
      </c>
      <c r="B2897" t="str">
        <f>VLOOKUP(B2895,Tabelle3!$A$2:$E$33,5,FALSE)</f>
        <v>No Blue</v>
      </c>
      <c r="C2897" t="s">
        <v>762</v>
      </c>
      <c r="D2897" t="str">
        <f t="shared" si="2354"/>
        <v xml:space="preserve">    "nextInstruction":  "No Blue",</v>
      </c>
    </row>
    <row r="2898" spans="1:4" x14ac:dyDescent="0.55000000000000004">
      <c r="A2898" t="s">
        <v>765</v>
      </c>
      <c r="B2898" t="str">
        <f>VLOOKUP(B2895,Tabelle3!$A$2:$E$33,4,FALSE)</f>
        <v>""</v>
      </c>
      <c r="D2898" t="str">
        <f t="shared" ref="D2898:D2961" si="2385">IF(ISNUMBER(B2898),(A2898&amp;B2898),"")</f>
        <v/>
      </c>
    </row>
    <row r="2899" spans="1:4" x14ac:dyDescent="0.55000000000000004">
      <c r="A2899" t="s">
        <v>6</v>
      </c>
      <c r="D2899" t="str">
        <f t="shared" ref="D2899:D2962" si="2386">A2899</f>
        <v xml:space="preserve">  },</v>
      </c>
    </row>
    <row r="2900" spans="1:4" x14ac:dyDescent="0.55000000000000004">
      <c r="A2900" t="s">
        <v>492</v>
      </c>
      <c r="D2900" t="str">
        <f t="shared" si="2386"/>
        <v xml:space="preserve">  "40-48": {</v>
      </c>
    </row>
    <row r="2901" spans="1:4" x14ac:dyDescent="0.55000000000000004">
      <c r="A2901" t="s">
        <v>58</v>
      </c>
      <c r="B2901">
        <f t="shared" ref="B2901" si="2387">_xlfn.NUMBERVALUE(RIGHT(A2901,2))</f>
        <v>19</v>
      </c>
      <c r="D2901" t="str">
        <f t="shared" ref="D2901:D2964" si="2388">A2901&amp;","</f>
        <v xml:space="preserve">    "resultPage": 19,</v>
      </c>
    </row>
    <row r="2902" spans="1:4" x14ac:dyDescent="0.55000000000000004">
      <c r="A2902" t="s">
        <v>763</v>
      </c>
      <c r="B2902" t="str">
        <f>VLOOKUP(B2901,Tabelle3!$A$2:$E$33,3,FALSE)</f>
        <v>Struck off Balance</v>
      </c>
      <c r="C2902" t="s">
        <v>762</v>
      </c>
      <c r="D2902" t="str">
        <f t="shared" ref="D2902" si="2389">_xlfn.CONCAT(A2902:C2902)</f>
        <v xml:space="preserve">    "message":  "Struck off Balance",</v>
      </c>
    </row>
    <row r="2903" spans="1:4" x14ac:dyDescent="0.55000000000000004">
      <c r="A2903" t="s">
        <v>764</v>
      </c>
      <c r="B2903" t="str">
        <f>VLOOKUP(B2901,Tabelle3!$A$2:$E$33,5,FALSE)</f>
        <v>Only Green Only Yellow</v>
      </c>
      <c r="C2903" t="s">
        <v>762</v>
      </c>
      <c r="D2903" t="str">
        <f t="shared" si="2354"/>
        <v xml:space="preserve">    "nextInstruction":  "Only Green Only Yellow",</v>
      </c>
    </row>
    <row r="2904" spans="1:4" x14ac:dyDescent="0.55000000000000004">
      <c r="A2904" t="s">
        <v>765</v>
      </c>
      <c r="B2904">
        <f>VLOOKUP(B2901,Tabelle3!$A$2:$E$33,4,FALSE)</f>
        <v>0</v>
      </c>
      <c r="D2904" t="str">
        <f t="shared" ref="D2904:D2967" si="2390">IF(ISNUMBER(B2904),(A2904&amp;B2904),"")</f>
        <v xml:space="preserve">    "damageModifier": 0</v>
      </c>
    </row>
    <row r="2905" spans="1:4" x14ac:dyDescent="0.55000000000000004">
      <c r="A2905" t="s">
        <v>6</v>
      </c>
      <c r="D2905" t="str">
        <f t="shared" ref="D2905:D2968" si="2391">A2905</f>
        <v xml:space="preserve">  },</v>
      </c>
    </row>
    <row r="2906" spans="1:4" x14ac:dyDescent="0.55000000000000004">
      <c r="A2906" t="s">
        <v>493</v>
      </c>
      <c r="D2906" t="str">
        <f t="shared" si="2391"/>
        <v xml:space="preserve">  "42-4": {</v>
      </c>
    </row>
    <row r="2907" spans="1:4" x14ac:dyDescent="0.55000000000000004">
      <c r="A2907" t="s">
        <v>35</v>
      </c>
      <c r="B2907">
        <f t="shared" ref="B2907" si="2392">_xlfn.NUMBERVALUE(RIGHT(A2907,2))</f>
        <v>59</v>
      </c>
      <c r="D2907" t="str">
        <f t="shared" ref="D2907:D2970" si="2393">A2907&amp;","</f>
        <v xml:space="preserve">    "resultPage": 59,</v>
      </c>
    </row>
    <row r="2908" spans="1:4" x14ac:dyDescent="0.55000000000000004">
      <c r="A2908" t="s">
        <v>763</v>
      </c>
      <c r="B2908" t="str">
        <f>VLOOKUP(B2907,Tabelle3!$A$2:$E$33,3,FALSE)</f>
        <v>Pushed off Balance</v>
      </c>
      <c r="C2908" t="s">
        <v>762</v>
      </c>
      <c r="D2908" t="str">
        <f t="shared" ref="D2908" si="2394">_xlfn.CONCAT(A2908:C2908)</f>
        <v xml:space="preserve">    "message":  "Pushed off Balance",</v>
      </c>
    </row>
    <row r="2909" spans="1:4" x14ac:dyDescent="0.55000000000000004">
      <c r="A2909" t="s">
        <v>764</v>
      </c>
      <c r="B2909" t="str">
        <f>VLOOKUP(B2907,Tabelle3!$A$2:$E$33,5,FALSE)</f>
        <v>Only Green Only Yellow</v>
      </c>
      <c r="C2909" t="s">
        <v>762</v>
      </c>
      <c r="D2909" t="str">
        <f t="shared" si="2354"/>
        <v xml:space="preserve">    "nextInstruction":  "Only Green Only Yellow",</v>
      </c>
    </row>
    <row r="2910" spans="1:4" x14ac:dyDescent="0.55000000000000004">
      <c r="A2910" t="s">
        <v>765</v>
      </c>
      <c r="B2910">
        <f>VLOOKUP(B2907,Tabelle3!$A$2:$E$33,4,FALSE)</f>
        <v>0</v>
      </c>
      <c r="D2910" t="str">
        <f t="shared" ref="D2910:D2973" si="2395">IF(ISNUMBER(B2910),(A2910&amp;B2910),"")</f>
        <v xml:space="preserve">    "damageModifier": 0</v>
      </c>
    </row>
    <row r="2911" spans="1:4" x14ac:dyDescent="0.55000000000000004">
      <c r="A2911" t="s">
        <v>6</v>
      </c>
      <c r="D2911" t="str">
        <f t="shared" ref="D2911:D2974" si="2396">A2911</f>
        <v xml:space="preserve">  },</v>
      </c>
    </row>
    <row r="2912" spans="1:4" x14ac:dyDescent="0.55000000000000004">
      <c r="A2912" t="s">
        <v>494</v>
      </c>
      <c r="D2912" t="str">
        <f t="shared" si="2396"/>
        <v xml:space="preserve">  "42-6": {</v>
      </c>
    </row>
    <row r="2913" spans="1:4" x14ac:dyDescent="0.55000000000000004">
      <c r="A2913" t="s">
        <v>5</v>
      </c>
      <c r="B2913">
        <f t="shared" ref="B2913" si="2397">_xlfn.NUMBERVALUE(RIGHT(A2913,2))</f>
        <v>5</v>
      </c>
      <c r="D2913" t="str">
        <f t="shared" ref="D2913:D2976" si="2398">A2913&amp;","</f>
        <v xml:space="preserve">    "resultPage": 5,</v>
      </c>
    </row>
    <row r="2914" spans="1:4" x14ac:dyDescent="0.55000000000000004">
      <c r="A2914" t="s">
        <v>763</v>
      </c>
      <c r="B2914" t="str">
        <f>VLOOKUP(B2913,Tabelle3!$A$2:$E$33,3,FALSE)</f>
        <v>Swinging Low</v>
      </c>
      <c r="C2914" t="s">
        <v>762</v>
      </c>
      <c r="D2914" t="str">
        <f t="shared" ref="D2914" si="2399">_xlfn.CONCAT(A2914:C2914)</f>
        <v xml:space="preserve">    "message":  "Swinging Low",</v>
      </c>
    </row>
    <row r="2915" spans="1:4" x14ac:dyDescent="0.55000000000000004">
      <c r="A2915" t="s">
        <v>764</v>
      </c>
      <c r="B2915" t="str">
        <f>VLOOKUP(B2913,Tabelle3!$A$2:$E$33,5,FALSE)</f>
        <v>No Blue</v>
      </c>
      <c r="C2915" t="s">
        <v>762</v>
      </c>
      <c r="D2915" t="str">
        <f t="shared" si="2354"/>
        <v xml:space="preserve">    "nextInstruction":  "No Blue",</v>
      </c>
    </row>
    <row r="2916" spans="1:4" x14ac:dyDescent="0.55000000000000004">
      <c r="A2916" t="s">
        <v>765</v>
      </c>
      <c r="B2916" t="str">
        <f>VLOOKUP(B2913,Tabelle3!$A$2:$E$33,4,FALSE)</f>
        <v>""</v>
      </c>
      <c r="D2916" t="str">
        <f t="shared" ref="D2916:D2979" si="2400">IF(ISNUMBER(B2916),(A2916&amp;B2916),"")</f>
        <v/>
      </c>
    </row>
    <row r="2917" spans="1:4" x14ac:dyDescent="0.55000000000000004">
      <c r="A2917" t="s">
        <v>6</v>
      </c>
      <c r="D2917" t="str">
        <f t="shared" ref="D2917:D2980" si="2401">A2917</f>
        <v xml:space="preserve">  },</v>
      </c>
    </row>
    <row r="2918" spans="1:4" x14ac:dyDescent="0.55000000000000004">
      <c r="A2918" t="s">
        <v>495</v>
      </c>
      <c r="D2918" t="str">
        <f t="shared" si="2401"/>
        <v xml:space="preserve">  "42-8": {</v>
      </c>
    </row>
    <row r="2919" spans="1:4" x14ac:dyDescent="0.55000000000000004">
      <c r="A2919" t="s">
        <v>5</v>
      </c>
      <c r="B2919">
        <f t="shared" ref="B2919" si="2402">_xlfn.NUMBERVALUE(RIGHT(A2919,2))</f>
        <v>5</v>
      </c>
      <c r="D2919" t="str">
        <f t="shared" ref="D2919:D2982" si="2403">A2919&amp;","</f>
        <v xml:space="preserve">    "resultPage": 5,</v>
      </c>
    </row>
    <row r="2920" spans="1:4" x14ac:dyDescent="0.55000000000000004">
      <c r="A2920" t="s">
        <v>763</v>
      </c>
      <c r="B2920" t="str">
        <f>VLOOKUP(B2919,Tabelle3!$A$2:$E$33,3,FALSE)</f>
        <v>Swinging Low</v>
      </c>
      <c r="C2920" t="s">
        <v>762</v>
      </c>
      <c r="D2920" t="str">
        <f t="shared" ref="D2920" si="2404">_xlfn.CONCAT(A2920:C2920)</f>
        <v xml:space="preserve">    "message":  "Swinging Low",</v>
      </c>
    </row>
    <row r="2921" spans="1:4" x14ac:dyDescent="0.55000000000000004">
      <c r="A2921" t="s">
        <v>764</v>
      </c>
      <c r="B2921" t="str">
        <f>VLOOKUP(B2919,Tabelle3!$A$2:$E$33,5,FALSE)</f>
        <v>No Blue</v>
      </c>
      <c r="C2921" t="s">
        <v>762</v>
      </c>
      <c r="D2921" t="str">
        <f t="shared" si="2354"/>
        <v xml:space="preserve">    "nextInstruction":  "No Blue",</v>
      </c>
    </row>
    <row r="2922" spans="1:4" x14ac:dyDescent="0.55000000000000004">
      <c r="A2922" t="s">
        <v>765</v>
      </c>
      <c r="B2922" t="str">
        <f>VLOOKUP(B2919,Tabelle3!$A$2:$E$33,4,FALSE)</f>
        <v>""</v>
      </c>
      <c r="D2922" t="str">
        <f t="shared" ref="D2922:D2985" si="2405">IF(ISNUMBER(B2922),(A2922&amp;B2922),"")</f>
        <v/>
      </c>
    </row>
    <row r="2923" spans="1:4" x14ac:dyDescent="0.55000000000000004">
      <c r="A2923" t="s">
        <v>6</v>
      </c>
      <c r="D2923" t="str">
        <f t="shared" ref="D2923:D2986" si="2406">A2923</f>
        <v xml:space="preserve">  },</v>
      </c>
    </row>
    <row r="2924" spans="1:4" x14ac:dyDescent="0.55000000000000004">
      <c r="A2924" t="s">
        <v>496</v>
      </c>
      <c r="D2924" t="str">
        <f t="shared" si="2406"/>
        <v xml:space="preserve">  "42-10": {</v>
      </c>
    </row>
    <row r="2925" spans="1:4" x14ac:dyDescent="0.55000000000000004">
      <c r="A2925" t="s">
        <v>10</v>
      </c>
      <c r="B2925">
        <f t="shared" ref="B2925" si="2407">_xlfn.NUMBERVALUE(RIGHT(A2925,2))</f>
        <v>31</v>
      </c>
      <c r="D2925" t="str">
        <f t="shared" ref="D2925:D2988" si="2408">A2925&amp;","</f>
        <v xml:space="preserve">    "resultPage": 31,</v>
      </c>
    </row>
    <row r="2926" spans="1:4" x14ac:dyDescent="0.55000000000000004">
      <c r="A2926" t="s">
        <v>763</v>
      </c>
      <c r="B2926" t="str">
        <f>VLOOKUP(B2925,Tabelle3!$A$2:$E$33,3,FALSE)</f>
        <v>Arm Wound</v>
      </c>
      <c r="C2926" t="s">
        <v>762</v>
      </c>
      <c r="D2926" t="str">
        <f t="shared" ref="D2926:D2987" si="2409">_xlfn.CONCAT(A2926:C2926)</f>
        <v xml:space="preserve">    "message":  "Arm Wound",</v>
      </c>
    </row>
    <row r="2927" spans="1:4" x14ac:dyDescent="0.55000000000000004">
      <c r="A2927" t="s">
        <v>764</v>
      </c>
      <c r="B2927" t="str">
        <f>VLOOKUP(B2925,Tabelle3!$A$2:$E$33,5,FALSE)</f>
        <v>No Orange</v>
      </c>
      <c r="C2927" t="s">
        <v>762</v>
      </c>
      <c r="D2927" t="str">
        <f t="shared" si="2409"/>
        <v xml:space="preserve">    "nextInstruction":  "No Orange",</v>
      </c>
    </row>
    <row r="2928" spans="1:4" x14ac:dyDescent="0.55000000000000004">
      <c r="A2928" t="s">
        <v>765</v>
      </c>
      <c r="B2928">
        <f>VLOOKUP(B2925,Tabelle3!$A$2:$E$33,4,FALSE)</f>
        <v>3</v>
      </c>
      <c r="D2928" t="str">
        <f t="shared" ref="D2928:D2991" si="2410">IF(ISNUMBER(B2928),(A2928&amp;B2928),"")</f>
        <v xml:space="preserve">    "damageModifier": 3</v>
      </c>
    </row>
    <row r="2929" spans="1:4" x14ac:dyDescent="0.55000000000000004">
      <c r="A2929" t="s">
        <v>6</v>
      </c>
      <c r="D2929" t="str">
        <f t="shared" ref="D2929:D2992" si="2411">A2929</f>
        <v xml:space="preserve">  },</v>
      </c>
    </row>
    <row r="2930" spans="1:4" x14ac:dyDescent="0.55000000000000004">
      <c r="A2930" t="s">
        <v>497</v>
      </c>
      <c r="D2930" t="str">
        <f t="shared" si="2411"/>
        <v xml:space="preserve">  "42-12": {</v>
      </c>
    </row>
    <row r="2931" spans="1:4" x14ac:dyDescent="0.55000000000000004">
      <c r="A2931" t="s">
        <v>13</v>
      </c>
      <c r="B2931">
        <f t="shared" ref="B2931" si="2412">_xlfn.NUMBERVALUE(RIGHT(A2931,2))</f>
        <v>49</v>
      </c>
      <c r="D2931" t="str">
        <f t="shared" ref="D2931:D2994" si="2413">A2931&amp;","</f>
        <v xml:space="preserve">    "resultPage": 49,</v>
      </c>
    </row>
    <row r="2932" spans="1:4" x14ac:dyDescent="0.55000000000000004">
      <c r="A2932" t="s">
        <v>763</v>
      </c>
      <c r="B2932" t="str">
        <f>VLOOKUP(B2931,Tabelle3!$A$2:$E$33,3,FALSE)</f>
        <v>Parrying Low</v>
      </c>
      <c r="C2932" t="s">
        <v>762</v>
      </c>
      <c r="D2932" t="str">
        <f t="shared" ref="D2932" si="2414">_xlfn.CONCAT(A2932:C2932)</f>
        <v xml:space="preserve">    "message":  "Parrying Low",</v>
      </c>
    </row>
    <row r="2933" spans="1:4" x14ac:dyDescent="0.55000000000000004">
      <c r="A2933" t="s">
        <v>764</v>
      </c>
      <c r="B2933" t="str">
        <f>VLOOKUP(B2931,Tabelle3!$A$2:$E$33,5,FALSE)</f>
        <v/>
      </c>
      <c r="C2933" t="s">
        <v>762</v>
      </c>
      <c r="D2933" t="str">
        <f t="shared" si="2409"/>
        <v xml:space="preserve">    "nextInstruction":  "",</v>
      </c>
    </row>
    <row r="2934" spans="1:4" x14ac:dyDescent="0.55000000000000004">
      <c r="A2934" t="s">
        <v>765</v>
      </c>
      <c r="B2934">
        <f>VLOOKUP(B2931,Tabelle3!$A$2:$E$33,4,FALSE)</f>
        <v>-4</v>
      </c>
      <c r="D2934" t="str">
        <f t="shared" ref="D2934:D2997" si="2415">IF(ISNUMBER(B2934),(A2934&amp;B2934),"")</f>
        <v xml:space="preserve">    "damageModifier": -4</v>
      </c>
    </row>
    <row r="2935" spans="1:4" x14ac:dyDescent="0.55000000000000004">
      <c r="A2935" t="s">
        <v>6</v>
      </c>
      <c r="D2935" t="str">
        <f t="shared" ref="D2935:D2998" si="2416">A2935</f>
        <v xml:space="preserve">  },</v>
      </c>
    </row>
    <row r="2936" spans="1:4" x14ac:dyDescent="0.55000000000000004">
      <c r="A2936" t="s">
        <v>498</v>
      </c>
      <c r="D2936" t="str">
        <f t="shared" si="2416"/>
        <v xml:space="preserve">  "42-14": {</v>
      </c>
    </row>
    <row r="2937" spans="1:4" x14ac:dyDescent="0.55000000000000004">
      <c r="A2937" t="s">
        <v>13</v>
      </c>
      <c r="B2937">
        <f t="shared" ref="B2937" si="2417">_xlfn.NUMBERVALUE(RIGHT(A2937,2))</f>
        <v>49</v>
      </c>
      <c r="D2937" t="str">
        <f t="shared" ref="D2937:D3000" si="2418">A2937&amp;","</f>
        <v xml:space="preserve">    "resultPage": 49,</v>
      </c>
    </row>
    <row r="2938" spans="1:4" x14ac:dyDescent="0.55000000000000004">
      <c r="A2938" t="s">
        <v>763</v>
      </c>
      <c r="B2938" t="str">
        <f>VLOOKUP(B2937,Tabelle3!$A$2:$E$33,3,FALSE)</f>
        <v>Parrying Low</v>
      </c>
      <c r="C2938" t="s">
        <v>762</v>
      </c>
      <c r="D2938" t="str">
        <f t="shared" ref="D2938" si="2419">_xlfn.CONCAT(A2938:C2938)</f>
        <v xml:space="preserve">    "message":  "Parrying Low",</v>
      </c>
    </row>
    <row r="2939" spans="1:4" x14ac:dyDescent="0.55000000000000004">
      <c r="A2939" t="s">
        <v>764</v>
      </c>
      <c r="B2939" t="str">
        <f>VLOOKUP(B2937,Tabelle3!$A$2:$E$33,5,FALSE)</f>
        <v/>
      </c>
      <c r="C2939" t="s">
        <v>762</v>
      </c>
      <c r="D2939" t="str">
        <f t="shared" si="2409"/>
        <v xml:space="preserve">    "nextInstruction":  "",</v>
      </c>
    </row>
    <row r="2940" spans="1:4" x14ac:dyDescent="0.55000000000000004">
      <c r="A2940" t="s">
        <v>765</v>
      </c>
      <c r="B2940">
        <f>VLOOKUP(B2937,Tabelle3!$A$2:$E$33,4,FALSE)</f>
        <v>-4</v>
      </c>
      <c r="D2940" t="str">
        <f t="shared" ref="D2940:D3003" si="2420">IF(ISNUMBER(B2940),(A2940&amp;B2940),"")</f>
        <v xml:space="preserve">    "damageModifier": -4</v>
      </c>
    </row>
    <row r="2941" spans="1:4" x14ac:dyDescent="0.55000000000000004">
      <c r="A2941" t="s">
        <v>6</v>
      </c>
      <c r="D2941" t="str">
        <f t="shared" ref="D2941:D3004" si="2421">A2941</f>
        <v xml:space="preserve">  },</v>
      </c>
    </row>
    <row r="2942" spans="1:4" x14ac:dyDescent="0.55000000000000004">
      <c r="A2942" t="s">
        <v>499</v>
      </c>
      <c r="D2942" t="str">
        <f t="shared" si="2421"/>
        <v xml:space="preserve">  "42-16": {</v>
      </c>
    </row>
    <row r="2943" spans="1:4" x14ac:dyDescent="0.55000000000000004">
      <c r="A2943" t="s">
        <v>15</v>
      </c>
      <c r="B2943">
        <f t="shared" ref="B2943" si="2422">_xlfn.NUMBERVALUE(RIGHT(A2943,2))</f>
        <v>57</v>
      </c>
      <c r="D2943" t="str">
        <f t="shared" ref="D2943:D3006" si="2423">A2943&amp;","</f>
        <v xml:space="preserve">    "resultPage": 57,</v>
      </c>
    </row>
    <row r="2944" spans="1:4" x14ac:dyDescent="0.55000000000000004">
      <c r="A2944" t="s">
        <v>763</v>
      </c>
      <c r="B2944" t="str">
        <f>VLOOKUP(B2943,Tabelle3!$A$2:$E$33,3,FALSE)</f>
        <v>Extended Range Blocking</v>
      </c>
      <c r="C2944" t="s">
        <v>762</v>
      </c>
      <c r="D2944" t="str">
        <f t="shared" ref="D2944" si="2424">_xlfn.CONCAT(A2944:C2944)</f>
        <v xml:space="preserve">    "message":  "Extended Range Blocking",</v>
      </c>
    </row>
    <row r="2945" spans="1:4" x14ac:dyDescent="0.55000000000000004">
      <c r="A2945" t="s">
        <v>764</v>
      </c>
      <c r="B2945" t="str">
        <f>VLOOKUP(B2943,Tabelle3!$A$2:$E$33,5,FALSE)</f>
        <v>Only Extended Range</v>
      </c>
      <c r="C2945" t="s">
        <v>762</v>
      </c>
      <c r="D2945" t="str">
        <f t="shared" si="2409"/>
        <v xml:space="preserve">    "nextInstruction":  "Only Extended Range",</v>
      </c>
    </row>
    <row r="2946" spans="1:4" x14ac:dyDescent="0.55000000000000004">
      <c r="A2946" t="s">
        <v>765</v>
      </c>
      <c r="B2946" t="str">
        <f>VLOOKUP(B2943,Tabelle3!$A$2:$E$33,4,FALSE)</f>
        <v>""</v>
      </c>
      <c r="D2946" t="str">
        <f t="shared" ref="D2946:D3009" si="2425">IF(ISNUMBER(B2946),(A2946&amp;B2946),"")</f>
        <v/>
      </c>
    </row>
    <row r="2947" spans="1:4" x14ac:dyDescent="0.55000000000000004">
      <c r="A2947" t="s">
        <v>6</v>
      </c>
      <c r="D2947" t="str">
        <f t="shared" ref="D2947:D3010" si="2426">A2947</f>
        <v xml:space="preserve">  },</v>
      </c>
    </row>
    <row r="2948" spans="1:4" x14ac:dyDescent="0.55000000000000004">
      <c r="A2948" t="s">
        <v>500</v>
      </c>
      <c r="D2948" t="str">
        <f t="shared" si="2426"/>
        <v xml:space="preserve">  "42-18": {</v>
      </c>
    </row>
    <row r="2949" spans="1:4" x14ac:dyDescent="0.55000000000000004">
      <c r="A2949" t="s">
        <v>5</v>
      </c>
      <c r="B2949">
        <f t="shared" ref="B2949" si="2427">_xlfn.NUMBERVALUE(RIGHT(A2949,2))</f>
        <v>5</v>
      </c>
      <c r="D2949" t="str">
        <f t="shared" ref="D2949:D3012" si="2428">A2949&amp;","</f>
        <v xml:space="preserve">    "resultPage": 5,</v>
      </c>
    </row>
    <row r="2950" spans="1:4" x14ac:dyDescent="0.55000000000000004">
      <c r="A2950" t="s">
        <v>763</v>
      </c>
      <c r="B2950" t="str">
        <f>VLOOKUP(B2949,Tabelle3!$A$2:$E$33,3,FALSE)</f>
        <v>Swinging Low</v>
      </c>
      <c r="C2950" t="s">
        <v>762</v>
      </c>
      <c r="D2950" t="str">
        <f t="shared" ref="D2950" si="2429">_xlfn.CONCAT(A2950:C2950)</f>
        <v xml:space="preserve">    "message":  "Swinging Low",</v>
      </c>
    </row>
    <row r="2951" spans="1:4" x14ac:dyDescent="0.55000000000000004">
      <c r="A2951" t="s">
        <v>764</v>
      </c>
      <c r="B2951" t="str">
        <f>VLOOKUP(B2949,Tabelle3!$A$2:$E$33,5,FALSE)</f>
        <v>No Blue</v>
      </c>
      <c r="C2951" t="s">
        <v>762</v>
      </c>
      <c r="D2951" t="str">
        <f t="shared" si="2409"/>
        <v xml:space="preserve">    "nextInstruction":  "No Blue",</v>
      </c>
    </row>
    <row r="2952" spans="1:4" x14ac:dyDescent="0.55000000000000004">
      <c r="A2952" t="s">
        <v>765</v>
      </c>
      <c r="B2952" t="str">
        <f>VLOOKUP(B2949,Tabelle3!$A$2:$E$33,4,FALSE)</f>
        <v>""</v>
      </c>
      <c r="D2952" t="str">
        <f t="shared" ref="D2952:D3015" si="2430">IF(ISNUMBER(B2952),(A2952&amp;B2952),"")</f>
        <v/>
      </c>
    </row>
    <row r="2953" spans="1:4" x14ac:dyDescent="0.55000000000000004">
      <c r="A2953" t="s">
        <v>6</v>
      </c>
      <c r="D2953" t="str">
        <f t="shared" ref="D2953:D3016" si="2431">A2953</f>
        <v xml:space="preserve">  },</v>
      </c>
    </row>
    <row r="2954" spans="1:4" x14ac:dyDescent="0.55000000000000004">
      <c r="A2954" t="s">
        <v>501</v>
      </c>
      <c r="D2954" t="str">
        <f t="shared" si="2431"/>
        <v xml:space="preserve">  "42-20": {</v>
      </c>
    </row>
    <row r="2955" spans="1:4" x14ac:dyDescent="0.55000000000000004">
      <c r="A2955" t="s">
        <v>5</v>
      </c>
      <c r="B2955">
        <f t="shared" ref="B2955" si="2432">_xlfn.NUMBERVALUE(RIGHT(A2955,2))</f>
        <v>5</v>
      </c>
      <c r="D2955" t="str">
        <f t="shared" ref="D2955:D3018" si="2433">A2955&amp;","</f>
        <v xml:space="preserve">    "resultPage": 5,</v>
      </c>
    </row>
    <row r="2956" spans="1:4" x14ac:dyDescent="0.55000000000000004">
      <c r="A2956" t="s">
        <v>763</v>
      </c>
      <c r="B2956" t="str">
        <f>VLOOKUP(B2955,Tabelle3!$A$2:$E$33,3,FALSE)</f>
        <v>Swinging Low</v>
      </c>
      <c r="C2956" t="s">
        <v>762</v>
      </c>
      <c r="D2956" t="str">
        <f t="shared" ref="D2956" si="2434">_xlfn.CONCAT(A2956:C2956)</f>
        <v xml:space="preserve">    "message":  "Swinging Low",</v>
      </c>
    </row>
    <row r="2957" spans="1:4" x14ac:dyDescent="0.55000000000000004">
      <c r="A2957" t="s">
        <v>764</v>
      </c>
      <c r="B2957" t="str">
        <f>VLOOKUP(B2955,Tabelle3!$A$2:$E$33,5,FALSE)</f>
        <v>No Blue</v>
      </c>
      <c r="C2957" t="s">
        <v>762</v>
      </c>
      <c r="D2957" t="str">
        <f t="shared" si="2409"/>
        <v xml:space="preserve">    "nextInstruction":  "No Blue",</v>
      </c>
    </row>
    <row r="2958" spans="1:4" x14ac:dyDescent="0.55000000000000004">
      <c r="A2958" t="s">
        <v>765</v>
      </c>
      <c r="B2958" t="str">
        <f>VLOOKUP(B2955,Tabelle3!$A$2:$E$33,4,FALSE)</f>
        <v>""</v>
      </c>
      <c r="D2958" t="str">
        <f t="shared" ref="D2958:D3021" si="2435">IF(ISNUMBER(B2958),(A2958&amp;B2958),"")</f>
        <v/>
      </c>
    </row>
    <row r="2959" spans="1:4" x14ac:dyDescent="0.55000000000000004">
      <c r="A2959" t="s">
        <v>6</v>
      </c>
      <c r="D2959" t="str">
        <f t="shared" ref="D2959:D3022" si="2436">A2959</f>
        <v xml:space="preserve">  },</v>
      </c>
    </row>
    <row r="2960" spans="1:4" x14ac:dyDescent="0.55000000000000004">
      <c r="A2960" t="s">
        <v>502</v>
      </c>
      <c r="D2960" t="str">
        <f t="shared" si="2436"/>
        <v xml:space="preserve">  "42-22": {</v>
      </c>
    </row>
    <row r="2961" spans="1:4" x14ac:dyDescent="0.55000000000000004">
      <c r="A2961" t="s">
        <v>13</v>
      </c>
      <c r="B2961">
        <f t="shared" ref="B2961" si="2437">_xlfn.NUMBERVALUE(RIGHT(A2961,2))</f>
        <v>49</v>
      </c>
      <c r="D2961" t="str">
        <f t="shared" ref="D2961:D3024" si="2438">A2961&amp;","</f>
        <v xml:space="preserve">    "resultPage": 49,</v>
      </c>
    </row>
    <row r="2962" spans="1:4" x14ac:dyDescent="0.55000000000000004">
      <c r="A2962" t="s">
        <v>763</v>
      </c>
      <c r="B2962" t="str">
        <f>VLOOKUP(B2961,Tabelle3!$A$2:$E$33,3,FALSE)</f>
        <v>Parrying Low</v>
      </c>
      <c r="C2962" t="s">
        <v>762</v>
      </c>
      <c r="D2962" t="str">
        <f t="shared" ref="D2962" si="2439">_xlfn.CONCAT(A2962:C2962)</f>
        <v xml:space="preserve">    "message":  "Parrying Low",</v>
      </c>
    </row>
    <row r="2963" spans="1:4" x14ac:dyDescent="0.55000000000000004">
      <c r="A2963" t="s">
        <v>764</v>
      </c>
      <c r="B2963" t="str">
        <f>VLOOKUP(B2961,Tabelle3!$A$2:$E$33,5,FALSE)</f>
        <v/>
      </c>
      <c r="C2963" t="s">
        <v>762</v>
      </c>
      <c r="D2963" t="str">
        <f t="shared" si="2409"/>
        <v xml:space="preserve">    "nextInstruction":  "",</v>
      </c>
    </row>
    <row r="2964" spans="1:4" x14ac:dyDescent="0.55000000000000004">
      <c r="A2964" t="s">
        <v>765</v>
      </c>
      <c r="B2964">
        <f>VLOOKUP(B2961,Tabelle3!$A$2:$E$33,4,FALSE)</f>
        <v>-4</v>
      </c>
      <c r="D2964" t="str">
        <f t="shared" ref="D2964:D3027" si="2440">IF(ISNUMBER(B2964),(A2964&amp;B2964),"")</f>
        <v xml:space="preserve">    "damageModifier": -4</v>
      </c>
    </row>
    <row r="2965" spans="1:4" x14ac:dyDescent="0.55000000000000004">
      <c r="A2965" t="s">
        <v>6</v>
      </c>
      <c r="D2965" t="str">
        <f t="shared" ref="D2965:D3028" si="2441">A2965</f>
        <v xml:space="preserve">  },</v>
      </c>
    </row>
    <row r="2966" spans="1:4" x14ac:dyDescent="0.55000000000000004">
      <c r="A2966" t="s">
        <v>503</v>
      </c>
      <c r="D2966" t="str">
        <f t="shared" si="2441"/>
        <v xml:space="preserve">  "42-24": {</v>
      </c>
    </row>
    <row r="2967" spans="1:4" x14ac:dyDescent="0.55000000000000004">
      <c r="A2967" t="s">
        <v>5</v>
      </c>
      <c r="B2967">
        <f t="shared" ref="B2967" si="2442">_xlfn.NUMBERVALUE(RIGHT(A2967,2))</f>
        <v>5</v>
      </c>
      <c r="D2967" t="str">
        <f t="shared" ref="D2967:D3030" si="2443">A2967&amp;","</f>
        <v xml:space="preserve">    "resultPage": 5,</v>
      </c>
    </row>
    <row r="2968" spans="1:4" x14ac:dyDescent="0.55000000000000004">
      <c r="A2968" t="s">
        <v>763</v>
      </c>
      <c r="B2968" t="str">
        <f>VLOOKUP(B2967,Tabelle3!$A$2:$E$33,3,FALSE)</f>
        <v>Swinging Low</v>
      </c>
      <c r="C2968" t="s">
        <v>762</v>
      </c>
      <c r="D2968" t="str">
        <f t="shared" ref="D2968" si="2444">_xlfn.CONCAT(A2968:C2968)</f>
        <v xml:space="preserve">    "message":  "Swinging Low",</v>
      </c>
    </row>
    <row r="2969" spans="1:4" x14ac:dyDescent="0.55000000000000004">
      <c r="A2969" t="s">
        <v>764</v>
      </c>
      <c r="B2969" t="str">
        <f>VLOOKUP(B2967,Tabelle3!$A$2:$E$33,5,FALSE)</f>
        <v>No Blue</v>
      </c>
      <c r="C2969" t="s">
        <v>762</v>
      </c>
      <c r="D2969" t="str">
        <f t="shared" si="2409"/>
        <v xml:space="preserve">    "nextInstruction":  "No Blue",</v>
      </c>
    </row>
    <row r="2970" spans="1:4" x14ac:dyDescent="0.55000000000000004">
      <c r="A2970" t="s">
        <v>765</v>
      </c>
      <c r="B2970" t="str">
        <f>VLOOKUP(B2967,Tabelle3!$A$2:$E$33,4,FALSE)</f>
        <v>""</v>
      </c>
      <c r="D2970" t="str">
        <f t="shared" ref="D2970:D3033" si="2445">IF(ISNUMBER(B2970),(A2970&amp;B2970),"")</f>
        <v/>
      </c>
    </row>
    <row r="2971" spans="1:4" x14ac:dyDescent="0.55000000000000004">
      <c r="A2971" t="s">
        <v>6</v>
      </c>
      <c r="D2971" t="str">
        <f t="shared" ref="D2971:D3034" si="2446">A2971</f>
        <v xml:space="preserve">  },</v>
      </c>
    </row>
    <row r="2972" spans="1:4" x14ac:dyDescent="0.55000000000000004">
      <c r="A2972" t="s">
        <v>504</v>
      </c>
      <c r="D2972" t="str">
        <f t="shared" si="2446"/>
        <v xml:space="preserve">  "42-26": {</v>
      </c>
    </row>
    <row r="2973" spans="1:4" x14ac:dyDescent="0.55000000000000004">
      <c r="A2973" t="s">
        <v>35</v>
      </c>
      <c r="B2973">
        <f t="shared" ref="B2973" si="2447">_xlfn.NUMBERVALUE(RIGHT(A2973,2))</f>
        <v>59</v>
      </c>
      <c r="D2973" t="str">
        <f t="shared" ref="D2973:D3036" si="2448">A2973&amp;","</f>
        <v xml:space="preserve">    "resultPage": 59,</v>
      </c>
    </row>
    <row r="2974" spans="1:4" x14ac:dyDescent="0.55000000000000004">
      <c r="A2974" t="s">
        <v>763</v>
      </c>
      <c r="B2974" t="str">
        <f>VLOOKUP(B2973,Tabelle3!$A$2:$E$33,3,FALSE)</f>
        <v>Pushed off Balance</v>
      </c>
      <c r="C2974" t="s">
        <v>762</v>
      </c>
      <c r="D2974" t="str">
        <f t="shared" ref="D2974" si="2449">_xlfn.CONCAT(A2974:C2974)</f>
        <v xml:space="preserve">    "message":  "Pushed off Balance",</v>
      </c>
    </row>
    <row r="2975" spans="1:4" x14ac:dyDescent="0.55000000000000004">
      <c r="A2975" t="s">
        <v>764</v>
      </c>
      <c r="B2975" t="str">
        <f>VLOOKUP(B2973,Tabelle3!$A$2:$E$33,5,FALSE)</f>
        <v>Only Green Only Yellow</v>
      </c>
      <c r="C2975" t="s">
        <v>762</v>
      </c>
      <c r="D2975" t="str">
        <f t="shared" si="2409"/>
        <v xml:space="preserve">    "nextInstruction":  "Only Green Only Yellow",</v>
      </c>
    </row>
    <row r="2976" spans="1:4" x14ac:dyDescent="0.55000000000000004">
      <c r="A2976" t="s">
        <v>765</v>
      </c>
      <c r="B2976">
        <f>VLOOKUP(B2973,Tabelle3!$A$2:$E$33,4,FALSE)</f>
        <v>0</v>
      </c>
      <c r="D2976" t="str">
        <f t="shared" ref="D2976:D3039" si="2450">IF(ISNUMBER(B2976),(A2976&amp;B2976),"")</f>
        <v xml:space="preserve">    "damageModifier": 0</v>
      </c>
    </row>
    <row r="2977" spans="1:4" x14ac:dyDescent="0.55000000000000004">
      <c r="A2977" t="s">
        <v>6</v>
      </c>
      <c r="D2977" t="str">
        <f t="shared" ref="D2977:D3040" si="2451">A2977</f>
        <v xml:space="preserve">  },</v>
      </c>
    </row>
    <row r="2978" spans="1:4" x14ac:dyDescent="0.55000000000000004">
      <c r="A2978" t="s">
        <v>505</v>
      </c>
      <c r="D2978" t="str">
        <f t="shared" si="2451"/>
        <v xml:space="preserve">  "42-28": {</v>
      </c>
    </row>
    <row r="2979" spans="1:4" x14ac:dyDescent="0.55000000000000004">
      <c r="A2979" t="s">
        <v>5</v>
      </c>
      <c r="B2979">
        <f t="shared" ref="B2979" si="2452">_xlfn.NUMBERVALUE(RIGHT(A2979,2))</f>
        <v>5</v>
      </c>
      <c r="D2979" t="str">
        <f t="shared" ref="D2979:D3042" si="2453">A2979&amp;","</f>
        <v xml:space="preserve">    "resultPage": 5,</v>
      </c>
    </row>
    <row r="2980" spans="1:4" x14ac:dyDescent="0.55000000000000004">
      <c r="A2980" t="s">
        <v>763</v>
      </c>
      <c r="B2980" t="str">
        <f>VLOOKUP(B2979,Tabelle3!$A$2:$E$33,3,FALSE)</f>
        <v>Swinging Low</v>
      </c>
      <c r="C2980" t="s">
        <v>762</v>
      </c>
      <c r="D2980" t="str">
        <f t="shared" ref="D2980" si="2454">_xlfn.CONCAT(A2980:C2980)</f>
        <v xml:space="preserve">    "message":  "Swinging Low",</v>
      </c>
    </row>
    <row r="2981" spans="1:4" x14ac:dyDescent="0.55000000000000004">
      <c r="A2981" t="s">
        <v>764</v>
      </c>
      <c r="B2981" t="str">
        <f>VLOOKUP(B2979,Tabelle3!$A$2:$E$33,5,FALSE)</f>
        <v>No Blue</v>
      </c>
      <c r="C2981" t="s">
        <v>762</v>
      </c>
      <c r="D2981" t="str">
        <f t="shared" si="2409"/>
        <v xml:space="preserve">    "nextInstruction":  "No Blue",</v>
      </c>
    </row>
    <row r="2982" spans="1:4" x14ac:dyDescent="0.55000000000000004">
      <c r="A2982" t="s">
        <v>765</v>
      </c>
      <c r="B2982" t="str">
        <f>VLOOKUP(B2979,Tabelle3!$A$2:$E$33,4,FALSE)</f>
        <v>""</v>
      </c>
      <c r="D2982" t="str">
        <f t="shared" ref="D2982:D3045" si="2455">IF(ISNUMBER(B2982),(A2982&amp;B2982),"")</f>
        <v/>
      </c>
    </row>
    <row r="2983" spans="1:4" x14ac:dyDescent="0.55000000000000004">
      <c r="A2983" t="s">
        <v>6</v>
      </c>
      <c r="D2983" t="str">
        <f t="shared" ref="D2983:D3046" si="2456">A2983</f>
        <v xml:space="preserve">  },</v>
      </c>
    </row>
    <row r="2984" spans="1:4" x14ac:dyDescent="0.55000000000000004">
      <c r="A2984" t="s">
        <v>506</v>
      </c>
      <c r="D2984" t="str">
        <f t="shared" si="2456"/>
        <v xml:space="preserve">  "42-30": {</v>
      </c>
    </row>
    <row r="2985" spans="1:4" x14ac:dyDescent="0.55000000000000004">
      <c r="A2985" t="s">
        <v>274</v>
      </c>
      <c r="B2985">
        <f t="shared" ref="B2985" si="2457">_xlfn.NUMBERVALUE(RIGHT(A2985,2))</f>
        <v>27</v>
      </c>
      <c r="D2985" t="str">
        <f t="shared" ref="D2985:D3048" si="2458">A2985&amp;","</f>
        <v xml:space="preserve">    "resultPage": 27,</v>
      </c>
    </row>
    <row r="2986" spans="1:4" x14ac:dyDescent="0.55000000000000004">
      <c r="A2986" t="s">
        <v>763</v>
      </c>
      <c r="B2986" t="str">
        <f>VLOOKUP(B2985,Tabelle3!$A$2:$E$33,3,FALSE)</f>
        <v>Weapon Dislodged</v>
      </c>
      <c r="C2986" t="s">
        <v>762</v>
      </c>
      <c r="D2986" t="str">
        <f t="shared" ref="D2986" si="2459">_xlfn.CONCAT(A2986:C2986)</f>
        <v xml:space="preserve">    "message":  "Weapon Dislodged",</v>
      </c>
    </row>
    <row r="2987" spans="1:4" x14ac:dyDescent="0.55000000000000004">
      <c r="A2987" t="s">
        <v>764</v>
      </c>
      <c r="B2987" t="str">
        <f>VLOOKUP(B2985,Tabelle3!$A$2:$E$33,5,FALSE)</f>
        <v>Only Green Only Yellow Only Kicks Except Wildswings Until Weapon has been retrieved</v>
      </c>
      <c r="C2987" t="s">
        <v>762</v>
      </c>
      <c r="D2987" t="str">
        <f t="shared" si="2409"/>
        <v xml:space="preserve">    "nextInstruction":  "Only Green Only Yellow Only Kicks Except Wildswings Until Weapon has been retrieved",</v>
      </c>
    </row>
    <row r="2988" spans="1:4" x14ac:dyDescent="0.55000000000000004">
      <c r="A2988" t="s">
        <v>765</v>
      </c>
      <c r="B2988" t="str">
        <f>VLOOKUP(B2985,Tabelle3!$A$2:$E$33,4,FALSE)</f>
        <v>""</v>
      </c>
      <c r="D2988" t="str">
        <f t="shared" ref="D2988:D3051" si="2460">IF(ISNUMBER(B2988),(A2988&amp;B2988),"")</f>
        <v/>
      </c>
    </row>
    <row r="2989" spans="1:4" x14ac:dyDescent="0.55000000000000004">
      <c r="A2989" t="s">
        <v>6</v>
      </c>
      <c r="D2989" t="str">
        <f t="shared" ref="D2989:D3052" si="2461">A2989</f>
        <v xml:space="preserve">  },</v>
      </c>
    </row>
    <row r="2990" spans="1:4" x14ac:dyDescent="0.55000000000000004">
      <c r="A2990" t="s">
        <v>507</v>
      </c>
      <c r="D2990" t="str">
        <f t="shared" si="2461"/>
        <v xml:space="preserve">  "42-32": {</v>
      </c>
    </row>
    <row r="2991" spans="1:4" x14ac:dyDescent="0.55000000000000004">
      <c r="A2991" t="s">
        <v>5</v>
      </c>
      <c r="B2991">
        <f t="shared" ref="B2991" si="2462">_xlfn.NUMBERVALUE(RIGHT(A2991,2))</f>
        <v>5</v>
      </c>
      <c r="D2991" t="str">
        <f t="shared" ref="D2991:D3054" si="2463">A2991&amp;","</f>
        <v xml:space="preserve">    "resultPage": 5,</v>
      </c>
    </row>
    <row r="2992" spans="1:4" x14ac:dyDescent="0.55000000000000004">
      <c r="A2992" t="s">
        <v>763</v>
      </c>
      <c r="B2992" t="str">
        <f>VLOOKUP(B2991,Tabelle3!$A$2:$E$33,3,FALSE)</f>
        <v>Swinging Low</v>
      </c>
      <c r="C2992" t="s">
        <v>762</v>
      </c>
      <c r="D2992" t="str">
        <f t="shared" ref="D2992:D3053" si="2464">_xlfn.CONCAT(A2992:C2992)</f>
        <v xml:space="preserve">    "message":  "Swinging Low",</v>
      </c>
    </row>
    <row r="2993" spans="1:4" x14ac:dyDescent="0.55000000000000004">
      <c r="A2993" t="s">
        <v>764</v>
      </c>
      <c r="B2993" t="str">
        <f>VLOOKUP(B2991,Tabelle3!$A$2:$E$33,5,FALSE)</f>
        <v>No Blue</v>
      </c>
      <c r="C2993" t="s">
        <v>762</v>
      </c>
      <c r="D2993" t="str">
        <f t="shared" si="2464"/>
        <v xml:space="preserve">    "nextInstruction":  "No Blue",</v>
      </c>
    </row>
    <row r="2994" spans="1:4" x14ac:dyDescent="0.55000000000000004">
      <c r="A2994" t="s">
        <v>765</v>
      </c>
      <c r="B2994" t="str">
        <f>VLOOKUP(B2991,Tabelle3!$A$2:$E$33,4,FALSE)</f>
        <v>""</v>
      </c>
      <c r="D2994" t="str">
        <f t="shared" ref="D2994:D3057" si="2465">IF(ISNUMBER(B2994),(A2994&amp;B2994),"")</f>
        <v/>
      </c>
    </row>
    <row r="2995" spans="1:4" x14ac:dyDescent="0.55000000000000004">
      <c r="A2995" t="s">
        <v>6</v>
      </c>
      <c r="D2995" t="str">
        <f t="shared" ref="D2995:D3058" si="2466">A2995</f>
        <v xml:space="preserve">  },</v>
      </c>
    </row>
    <row r="2996" spans="1:4" x14ac:dyDescent="0.55000000000000004">
      <c r="A2996" t="s">
        <v>508</v>
      </c>
      <c r="D2996" t="str">
        <f t="shared" si="2466"/>
        <v xml:space="preserve">  "42-34": {</v>
      </c>
    </row>
    <row r="2997" spans="1:4" x14ac:dyDescent="0.55000000000000004">
      <c r="A2997" t="s">
        <v>5</v>
      </c>
      <c r="B2997">
        <f t="shared" ref="B2997" si="2467">_xlfn.NUMBERVALUE(RIGHT(A2997,2))</f>
        <v>5</v>
      </c>
      <c r="D2997" t="str">
        <f t="shared" ref="D2997:D3060" si="2468">A2997&amp;","</f>
        <v xml:space="preserve">    "resultPage": 5,</v>
      </c>
    </row>
    <row r="2998" spans="1:4" x14ac:dyDescent="0.55000000000000004">
      <c r="A2998" t="s">
        <v>763</v>
      </c>
      <c r="B2998" t="str">
        <f>VLOOKUP(B2997,Tabelle3!$A$2:$E$33,3,FALSE)</f>
        <v>Swinging Low</v>
      </c>
      <c r="C2998" t="s">
        <v>762</v>
      </c>
      <c r="D2998" t="str">
        <f t="shared" ref="D2998" si="2469">_xlfn.CONCAT(A2998:C2998)</f>
        <v xml:space="preserve">    "message":  "Swinging Low",</v>
      </c>
    </row>
    <row r="2999" spans="1:4" x14ac:dyDescent="0.55000000000000004">
      <c r="A2999" t="s">
        <v>764</v>
      </c>
      <c r="B2999" t="str">
        <f>VLOOKUP(B2997,Tabelle3!$A$2:$E$33,5,FALSE)</f>
        <v>No Blue</v>
      </c>
      <c r="C2999" t="s">
        <v>762</v>
      </c>
      <c r="D2999" t="str">
        <f t="shared" si="2464"/>
        <v xml:space="preserve">    "nextInstruction":  "No Blue",</v>
      </c>
    </row>
    <row r="3000" spans="1:4" x14ac:dyDescent="0.55000000000000004">
      <c r="A3000" t="s">
        <v>765</v>
      </c>
      <c r="B3000" t="str">
        <f>VLOOKUP(B2997,Tabelle3!$A$2:$E$33,4,FALSE)</f>
        <v>""</v>
      </c>
      <c r="D3000" t="str">
        <f t="shared" ref="D3000:D3063" si="2470">IF(ISNUMBER(B3000),(A3000&amp;B3000),"")</f>
        <v/>
      </c>
    </row>
    <row r="3001" spans="1:4" x14ac:dyDescent="0.55000000000000004">
      <c r="A3001" t="s">
        <v>6</v>
      </c>
      <c r="D3001" t="str">
        <f t="shared" ref="D3001:D3064" si="2471">A3001</f>
        <v xml:space="preserve">  },</v>
      </c>
    </row>
    <row r="3002" spans="1:4" x14ac:dyDescent="0.55000000000000004">
      <c r="A3002" t="s">
        <v>509</v>
      </c>
      <c r="D3002" t="str">
        <f t="shared" si="2471"/>
        <v xml:space="preserve">  "42-36": {</v>
      </c>
    </row>
    <row r="3003" spans="1:4" x14ac:dyDescent="0.55000000000000004">
      <c r="A3003" t="s">
        <v>5</v>
      </c>
      <c r="B3003">
        <f t="shared" ref="B3003" si="2472">_xlfn.NUMBERVALUE(RIGHT(A3003,2))</f>
        <v>5</v>
      </c>
      <c r="D3003" t="str">
        <f t="shared" ref="D3003:D3066" si="2473">A3003&amp;","</f>
        <v xml:space="preserve">    "resultPage": 5,</v>
      </c>
    </row>
    <row r="3004" spans="1:4" x14ac:dyDescent="0.55000000000000004">
      <c r="A3004" t="s">
        <v>763</v>
      </c>
      <c r="B3004" t="str">
        <f>VLOOKUP(B3003,Tabelle3!$A$2:$E$33,3,FALSE)</f>
        <v>Swinging Low</v>
      </c>
      <c r="C3004" t="s">
        <v>762</v>
      </c>
      <c r="D3004" t="str">
        <f t="shared" ref="D3004" si="2474">_xlfn.CONCAT(A3004:C3004)</f>
        <v xml:space="preserve">    "message":  "Swinging Low",</v>
      </c>
    </row>
    <row r="3005" spans="1:4" x14ac:dyDescent="0.55000000000000004">
      <c r="A3005" t="s">
        <v>764</v>
      </c>
      <c r="B3005" t="str">
        <f>VLOOKUP(B3003,Tabelle3!$A$2:$E$33,5,FALSE)</f>
        <v>No Blue</v>
      </c>
      <c r="C3005" t="s">
        <v>762</v>
      </c>
      <c r="D3005" t="str">
        <f t="shared" si="2464"/>
        <v xml:space="preserve">    "nextInstruction":  "No Blue",</v>
      </c>
    </row>
    <row r="3006" spans="1:4" x14ac:dyDescent="0.55000000000000004">
      <c r="A3006" t="s">
        <v>765</v>
      </c>
      <c r="B3006" t="str">
        <f>VLOOKUP(B3003,Tabelle3!$A$2:$E$33,4,FALSE)</f>
        <v>""</v>
      </c>
      <c r="D3006" t="str">
        <f t="shared" ref="D3006:D3069" si="2475">IF(ISNUMBER(B3006),(A3006&amp;B3006),"")</f>
        <v/>
      </c>
    </row>
    <row r="3007" spans="1:4" x14ac:dyDescent="0.55000000000000004">
      <c r="A3007" t="s">
        <v>6</v>
      </c>
      <c r="D3007" t="str">
        <f t="shared" ref="D3007:D3070" si="2476">A3007</f>
        <v xml:space="preserve">  },</v>
      </c>
    </row>
    <row r="3008" spans="1:4" x14ac:dyDescent="0.55000000000000004">
      <c r="A3008" t="s">
        <v>510</v>
      </c>
      <c r="D3008" t="str">
        <f t="shared" si="2476"/>
        <v xml:space="preserve">  "42-38": {</v>
      </c>
    </row>
    <row r="3009" spans="1:4" x14ac:dyDescent="0.55000000000000004">
      <c r="A3009" t="s">
        <v>10</v>
      </c>
      <c r="B3009">
        <f t="shared" ref="B3009" si="2477">_xlfn.NUMBERVALUE(RIGHT(A3009,2))</f>
        <v>31</v>
      </c>
      <c r="D3009" t="str">
        <f t="shared" ref="D3009:D3072" si="2478">A3009&amp;","</f>
        <v xml:space="preserve">    "resultPage": 31,</v>
      </c>
    </row>
    <row r="3010" spans="1:4" x14ac:dyDescent="0.55000000000000004">
      <c r="A3010" t="s">
        <v>763</v>
      </c>
      <c r="B3010" t="str">
        <f>VLOOKUP(B3009,Tabelle3!$A$2:$E$33,3,FALSE)</f>
        <v>Arm Wound</v>
      </c>
      <c r="C3010" t="s">
        <v>762</v>
      </c>
      <c r="D3010" t="str">
        <f t="shared" ref="D3010" si="2479">_xlfn.CONCAT(A3010:C3010)</f>
        <v xml:space="preserve">    "message":  "Arm Wound",</v>
      </c>
    </row>
    <row r="3011" spans="1:4" x14ac:dyDescent="0.55000000000000004">
      <c r="A3011" t="s">
        <v>764</v>
      </c>
      <c r="B3011" t="str">
        <f>VLOOKUP(B3009,Tabelle3!$A$2:$E$33,5,FALSE)</f>
        <v>No Orange</v>
      </c>
      <c r="C3011" t="s">
        <v>762</v>
      </c>
      <c r="D3011" t="str">
        <f t="shared" si="2464"/>
        <v xml:space="preserve">    "nextInstruction":  "No Orange",</v>
      </c>
    </row>
    <row r="3012" spans="1:4" x14ac:dyDescent="0.55000000000000004">
      <c r="A3012" t="s">
        <v>765</v>
      </c>
      <c r="B3012">
        <f>VLOOKUP(B3009,Tabelle3!$A$2:$E$33,4,FALSE)</f>
        <v>3</v>
      </c>
      <c r="D3012" t="str">
        <f t="shared" ref="D3012:D3075" si="2480">IF(ISNUMBER(B3012),(A3012&amp;B3012),"")</f>
        <v xml:space="preserve">    "damageModifier": 3</v>
      </c>
    </row>
    <row r="3013" spans="1:4" x14ac:dyDescent="0.55000000000000004">
      <c r="A3013" t="s">
        <v>6</v>
      </c>
      <c r="D3013" t="str">
        <f t="shared" ref="D3013:D3076" si="2481">A3013</f>
        <v xml:space="preserve">  },</v>
      </c>
    </row>
    <row r="3014" spans="1:4" x14ac:dyDescent="0.55000000000000004">
      <c r="A3014" t="s">
        <v>511</v>
      </c>
      <c r="D3014" t="str">
        <f t="shared" si="2481"/>
        <v xml:space="preserve">  "42-40": {</v>
      </c>
    </row>
    <row r="3015" spans="1:4" x14ac:dyDescent="0.55000000000000004">
      <c r="A3015" t="s">
        <v>13</v>
      </c>
      <c r="B3015">
        <f t="shared" ref="B3015" si="2482">_xlfn.NUMBERVALUE(RIGHT(A3015,2))</f>
        <v>49</v>
      </c>
      <c r="D3015" t="str">
        <f t="shared" ref="D3015:D3078" si="2483">A3015&amp;","</f>
        <v xml:space="preserve">    "resultPage": 49,</v>
      </c>
    </row>
    <row r="3016" spans="1:4" x14ac:dyDescent="0.55000000000000004">
      <c r="A3016" t="s">
        <v>763</v>
      </c>
      <c r="B3016" t="str">
        <f>VLOOKUP(B3015,Tabelle3!$A$2:$E$33,3,FALSE)</f>
        <v>Parrying Low</v>
      </c>
      <c r="C3016" t="s">
        <v>762</v>
      </c>
      <c r="D3016" t="str">
        <f t="shared" ref="D3016" si="2484">_xlfn.CONCAT(A3016:C3016)</f>
        <v xml:space="preserve">    "message":  "Parrying Low",</v>
      </c>
    </row>
    <row r="3017" spans="1:4" x14ac:dyDescent="0.55000000000000004">
      <c r="A3017" t="s">
        <v>764</v>
      </c>
      <c r="B3017" t="str">
        <f>VLOOKUP(B3015,Tabelle3!$A$2:$E$33,5,FALSE)</f>
        <v/>
      </c>
      <c r="C3017" t="s">
        <v>762</v>
      </c>
      <c r="D3017" t="str">
        <f t="shared" si="2464"/>
        <v xml:space="preserve">    "nextInstruction":  "",</v>
      </c>
    </row>
    <row r="3018" spans="1:4" x14ac:dyDescent="0.55000000000000004">
      <c r="A3018" t="s">
        <v>765</v>
      </c>
      <c r="B3018">
        <f>VLOOKUP(B3015,Tabelle3!$A$2:$E$33,4,FALSE)</f>
        <v>-4</v>
      </c>
      <c r="D3018" t="str">
        <f t="shared" ref="D3018:D3081" si="2485">IF(ISNUMBER(B3018),(A3018&amp;B3018),"")</f>
        <v xml:space="preserve">    "damageModifier": -4</v>
      </c>
    </row>
    <row r="3019" spans="1:4" x14ac:dyDescent="0.55000000000000004">
      <c r="A3019" t="s">
        <v>6</v>
      </c>
      <c r="D3019" t="str">
        <f t="shared" ref="D3019:D3082" si="2486">A3019</f>
        <v xml:space="preserve">  },</v>
      </c>
    </row>
    <row r="3020" spans="1:4" x14ac:dyDescent="0.55000000000000004">
      <c r="A3020" t="s">
        <v>512</v>
      </c>
      <c r="D3020" t="str">
        <f t="shared" si="2486"/>
        <v xml:space="preserve">  "42-42": {</v>
      </c>
    </row>
    <row r="3021" spans="1:4" x14ac:dyDescent="0.55000000000000004">
      <c r="A3021" t="s">
        <v>13</v>
      </c>
      <c r="B3021">
        <f t="shared" ref="B3021" si="2487">_xlfn.NUMBERVALUE(RIGHT(A3021,2))</f>
        <v>49</v>
      </c>
      <c r="D3021" t="str">
        <f t="shared" ref="D3021:D3084" si="2488">A3021&amp;","</f>
        <v xml:space="preserve">    "resultPage": 49,</v>
      </c>
    </row>
    <row r="3022" spans="1:4" x14ac:dyDescent="0.55000000000000004">
      <c r="A3022" t="s">
        <v>763</v>
      </c>
      <c r="B3022" t="str">
        <f>VLOOKUP(B3021,Tabelle3!$A$2:$E$33,3,FALSE)</f>
        <v>Parrying Low</v>
      </c>
      <c r="C3022" t="s">
        <v>762</v>
      </c>
      <c r="D3022" t="str">
        <f t="shared" ref="D3022" si="2489">_xlfn.CONCAT(A3022:C3022)</f>
        <v xml:space="preserve">    "message":  "Parrying Low",</v>
      </c>
    </row>
    <row r="3023" spans="1:4" x14ac:dyDescent="0.55000000000000004">
      <c r="A3023" t="s">
        <v>764</v>
      </c>
      <c r="B3023" t="str">
        <f>VLOOKUP(B3021,Tabelle3!$A$2:$E$33,5,FALSE)</f>
        <v/>
      </c>
      <c r="C3023" t="s">
        <v>762</v>
      </c>
      <c r="D3023" t="str">
        <f t="shared" si="2464"/>
        <v xml:space="preserve">    "nextInstruction":  "",</v>
      </c>
    </row>
    <row r="3024" spans="1:4" x14ac:dyDescent="0.55000000000000004">
      <c r="A3024" t="s">
        <v>765</v>
      </c>
      <c r="B3024">
        <f>VLOOKUP(B3021,Tabelle3!$A$2:$E$33,4,FALSE)</f>
        <v>-4</v>
      </c>
      <c r="D3024" t="str">
        <f t="shared" ref="D3024:D3087" si="2490">IF(ISNUMBER(B3024),(A3024&amp;B3024),"")</f>
        <v xml:space="preserve">    "damageModifier": -4</v>
      </c>
    </row>
    <row r="3025" spans="1:4" x14ac:dyDescent="0.55000000000000004">
      <c r="A3025" t="s">
        <v>6</v>
      </c>
      <c r="D3025" t="str">
        <f t="shared" ref="D3025:D3088" si="2491">A3025</f>
        <v xml:space="preserve">  },</v>
      </c>
    </row>
    <row r="3026" spans="1:4" x14ac:dyDescent="0.55000000000000004">
      <c r="A3026" t="s">
        <v>513</v>
      </c>
      <c r="D3026" t="str">
        <f t="shared" si="2491"/>
        <v xml:space="preserve">  "42-44": {</v>
      </c>
    </row>
    <row r="3027" spans="1:4" x14ac:dyDescent="0.55000000000000004">
      <c r="A3027" t="s">
        <v>5</v>
      </c>
      <c r="B3027">
        <f t="shared" ref="B3027" si="2492">_xlfn.NUMBERVALUE(RIGHT(A3027,2))</f>
        <v>5</v>
      </c>
      <c r="D3027" t="str">
        <f t="shared" ref="D3027:D3090" si="2493">A3027&amp;","</f>
        <v xml:space="preserve">    "resultPage": 5,</v>
      </c>
    </row>
    <row r="3028" spans="1:4" x14ac:dyDescent="0.55000000000000004">
      <c r="A3028" t="s">
        <v>763</v>
      </c>
      <c r="B3028" t="str">
        <f>VLOOKUP(B3027,Tabelle3!$A$2:$E$33,3,FALSE)</f>
        <v>Swinging Low</v>
      </c>
      <c r="C3028" t="s">
        <v>762</v>
      </c>
      <c r="D3028" t="str">
        <f t="shared" ref="D3028" si="2494">_xlfn.CONCAT(A3028:C3028)</f>
        <v xml:space="preserve">    "message":  "Swinging Low",</v>
      </c>
    </row>
    <row r="3029" spans="1:4" x14ac:dyDescent="0.55000000000000004">
      <c r="A3029" t="s">
        <v>764</v>
      </c>
      <c r="B3029" t="str">
        <f>VLOOKUP(B3027,Tabelle3!$A$2:$E$33,5,FALSE)</f>
        <v>No Blue</v>
      </c>
      <c r="C3029" t="s">
        <v>762</v>
      </c>
      <c r="D3029" t="str">
        <f t="shared" si="2464"/>
        <v xml:space="preserve">    "nextInstruction":  "No Blue",</v>
      </c>
    </row>
    <row r="3030" spans="1:4" x14ac:dyDescent="0.55000000000000004">
      <c r="A3030" t="s">
        <v>765</v>
      </c>
      <c r="B3030" t="str">
        <f>VLOOKUP(B3027,Tabelle3!$A$2:$E$33,4,FALSE)</f>
        <v>""</v>
      </c>
      <c r="D3030" t="str">
        <f t="shared" ref="D3030:D3093" si="2495">IF(ISNUMBER(B3030),(A3030&amp;B3030),"")</f>
        <v/>
      </c>
    </row>
    <row r="3031" spans="1:4" x14ac:dyDescent="0.55000000000000004">
      <c r="A3031" t="s">
        <v>6</v>
      </c>
      <c r="D3031" t="str">
        <f t="shared" ref="D3031:D3094" si="2496">A3031</f>
        <v xml:space="preserve">  },</v>
      </c>
    </row>
    <row r="3032" spans="1:4" x14ac:dyDescent="0.55000000000000004">
      <c r="A3032" t="s">
        <v>514</v>
      </c>
      <c r="D3032" t="str">
        <f t="shared" si="2496"/>
        <v xml:space="preserve">  "42-46": {</v>
      </c>
    </row>
    <row r="3033" spans="1:4" x14ac:dyDescent="0.55000000000000004">
      <c r="A3033" t="s">
        <v>5</v>
      </c>
      <c r="B3033">
        <f t="shared" ref="B3033" si="2497">_xlfn.NUMBERVALUE(RIGHT(A3033,2))</f>
        <v>5</v>
      </c>
      <c r="D3033" t="str">
        <f t="shared" ref="D3033:D3096" si="2498">A3033&amp;","</f>
        <v xml:space="preserve">    "resultPage": 5,</v>
      </c>
    </row>
    <row r="3034" spans="1:4" x14ac:dyDescent="0.55000000000000004">
      <c r="A3034" t="s">
        <v>763</v>
      </c>
      <c r="B3034" t="str">
        <f>VLOOKUP(B3033,Tabelle3!$A$2:$E$33,3,FALSE)</f>
        <v>Swinging Low</v>
      </c>
      <c r="C3034" t="s">
        <v>762</v>
      </c>
      <c r="D3034" t="str">
        <f t="shared" ref="D3034" si="2499">_xlfn.CONCAT(A3034:C3034)</f>
        <v xml:space="preserve">    "message":  "Swinging Low",</v>
      </c>
    </row>
    <row r="3035" spans="1:4" x14ac:dyDescent="0.55000000000000004">
      <c r="A3035" t="s">
        <v>764</v>
      </c>
      <c r="B3035" t="str">
        <f>VLOOKUP(B3033,Tabelle3!$A$2:$E$33,5,FALSE)</f>
        <v>No Blue</v>
      </c>
      <c r="C3035" t="s">
        <v>762</v>
      </c>
      <c r="D3035" t="str">
        <f t="shared" si="2464"/>
        <v xml:space="preserve">    "nextInstruction":  "No Blue",</v>
      </c>
    </row>
    <row r="3036" spans="1:4" x14ac:dyDescent="0.55000000000000004">
      <c r="A3036" t="s">
        <v>765</v>
      </c>
      <c r="B3036" t="str">
        <f>VLOOKUP(B3033,Tabelle3!$A$2:$E$33,4,FALSE)</f>
        <v>""</v>
      </c>
      <c r="D3036" t="str">
        <f t="shared" ref="D3036:D3099" si="2500">IF(ISNUMBER(B3036),(A3036&amp;B3036),"")</f>
        <v/>
      </c>
    </row>
    <row r="3037" spans="1:4" x14ac:dyDescent="0.55000000000000004">
      <c r="A3037" t="s">
        <v>6</v>
      </c>
      <c r="D3037" t="str">
        <f t="shared" ref="D3037:D3100" si="2501">A3037</f>
        <v xml:space="preserve">  },</v>
      </c>
    </row>
    <row r="3038" spans="1:4" x14ac:dyDescent="0.55000000000000004">
      <c r="A3038" t="s">
        <v>515</v>
      </c>
      <c r="D3038" t="str">
        <f t="shared" si="2501"/>
        <v xml:space="preserve">  "42-48": {</v>
      </c>
    </row>
    <row r="3039" spans="1:4" x14ac:dyDescent="0.55000000000000004">
      <c r="A3039" t="s">
        <v>13</v>
      </c>
      <c r="B3039">
        <f t="shared" ref="B3039" si="2502">_xlfn.NUMBERVALUE(RIGHT(A3039,2))</f>
        <v>49</v>
      </c>
      <c r="D3039" t="str">
        <f t="shared" ref="D3039:D3102" si="2503">A3039&amp;","</f>
        <v xml:space="preserve">    "resultPage": 49,</v>
      </c>
    </row>
    <row r="3040" spans="1:4" x14ac:dyDescent="0.55000000000000004">
      <c r="A3040" t="s">
        <v>763</v>
      </c>
      <c r="B3040" t="str">
        <f>VLOOKUP(B3039,Tabelle3!$A$2:$E$33,3,FALSE)</f>
        <v>Parrying Low</v>
      </c>
      <c r="C3040" t="s">
        <v>762</v>
      </c>
      <c r="D3040" t="str">
        <f t="shared" ref="D3040" si="2504">_xlfn.CONCAT(A3040:C3040)</f>
        <v xml:space="preserve">    "message":  "Parrying Low",</v>
      </c>
    </row>
    <row r="3041" spans="1:4" x14ac:dyDescent="0.55000000000000004">
      <c r="A3041" t="s">
        <v>764</v>
      </c>
      <c r="B3041" t="str">
        <f>VLOOKUP(B3039,Tabelle3!$A$2:$E$33,5,FALSE)</f>
        <v/>
      </c>
      <c r="C3041" t="s">
        <v>762</v>
      </c>
      <c r="D3041" t="str">
        <f t="shared" si="2464"/>
        <v xml:space="preserve">    "nextInstruction":  "",</v>
      </c>
    </row>
    <row r="3042" spans="1:4" x14ac:dyDescent="0.55000000000000004">
      <c r="A3042" t="s">
        <v>765</v>
      </c>
      <c r="B3042">
        <f>VLOOKUP(B3039,Tabelle3!$A$2:$E$33,4,FALSE)</f>
        <v>-4</v>
      </c>
      <c r="D3042" t="str">
        <f t="shared" ref="D3042:D3105" si="2505">IF(ISNUMBER(B3042),(A3042&amp;B3042),"")</f>
        <v xml:space="preserve">    "damageModifier": -4</v>
      </c>
    </row>
    <row r="3043" spans="1:4" x14ac:dyDescent="0.55000000000000004">
      <c r="A3043" t="s">
        <v>6</v>
      </c>
      <c r="D3043" t="str">
        <f t="shared" ref="D3043:D3106" si="2506">A3043</f>
        <v xml:space="preserve">  },</v>
      </c>
    </row>
    <row r="3044" spans="1:4" x14ac:dyDescent="0.55000000000000004">
      <c r="A3044" t="s">
        <v>516</v>
      </c>
      <c r="D3044" t="str">
        <f t="shared" si="2506"/>
        <v xml:space="preserve">  "44-4": {</v>
      </c>
    </row>
    <row r="3045" spans="1:4" x14ac:dyDescent="0.55000000000000004">
      <c r="A3045" t="s">
        <v>285</v>
      </c>
      <c r="B3045">
        <f t="shared" ref="B3045" si="2507">_xlfn.NUMBERVALUE(RIGHT(A3045,2))</f>
        <v>15</v>
      </c>
      <c r="D3045" t="str">
        <f t="shared" ref="D3045:D3108" si="2508">A3045&amp;","</f>
        <v xml:space="preserve">    "resultPage": 15,</v>
      </c>
    </row>
    <row r="3046" spans="1:4" x14ac:dyDescent="0.55000000000000004">
      <c r="A3046" t="s">
        <v>763</v>
      </c>
      <c r="B3046" t="str">
        <f>VLOOKUP(B3045,Tabelle3!$A$2:$E$33,3,FALSE)</f>
        <v>Swinging Down</v>
      </c>
      <c r="C3046" t="s">
        <v>762</v>
      </c>
      <c r="D3046" t="str">
        <f t="shared" ref="D3046" si="2509">_xlfn.CONCAT(A3046:C3046)</f>
        <v xml:space="preserve">    "message":  "Swinging Down",</v>
      </c>
    </row>
    <row r="3047" spans="1:4" x14ac:dyDescent="0.55000000000000004">
      <c r="A3047" t="s">
        <v>764</v>
      </c>
      <c r="B3047" t="str">
        <f>VLOOKUP(B3045,Tabelle3!$A$2:$E$33,5,FALSE)</f>
        <v/>
      </c>
      <c r="C3047" t="s">
        <v>762</v>
      </c>
      <c r="D3047" t="str">
        <f t="shared" si="2464"/>
        <v xml:space="preserve">    "nextInstruction":  "",</v>
      </c>
    </row>
    <row r="3048" spans="1:4" x14ac:dyDescent="0.55000000000000004">
      <c r="A3048" t="s">
        <v>765</v>
      </c>
      <c r="B3048" t="str">
        <f>VLOOKUP(B3045,Tabelle3!$A$2:$E$33,4,FALSE)</f>
        <v>""</v>
      </c>
      <c r="D3048" t="str">
        <f t="shared" ref="D3048:D3111" si="2510">IF(ISNUMBER(B3048),(A3048&amp;B3048),"")</f>
        <v/>
      </c>
    </row>
    <row r="3049" spans="1:4" x14ac:dyDescent="0.55000000000000004">
      <c r="A3049" t="s">
        <v>6</v>
      </c>
      <c r="D3049" t="str">
        <f t="shared" ref="D3049:D3112" si="2511">A3049</f>
        <v xml:space="preserve">  },</v>
      </c>
    </row>
    <row r="3050" spans="1:4" x14ac:dyDescent="0.55000000000000004">
      <c r="A3050" t="s">
        <v>517</v>
      </c>
      <c r="D3050" t="str">
        <f t="shared" si="2511"/>
        <v xml:space="preserve">  "44-6": {</v>
      </c>
    </row>
    <row r="3051" spans="1:4" x14ac:dyDescent="0.55000000000000004">
      <c r="A3051" t="s">
        <v>76</v>
      </c>
      <c r="B3051">
        <f t="shared" ref="B3051" si="2512">_xlfn.NUMBERVALUE(RIGHT(A3051,2))</f>
        <v>45</v>
      </c>
      <c r="D3051" t="str">
        <f t="shared" ref="D3051:D3114" si="2513">A3051&amp;","</f>
        <v xml:space="preserve">    "resultPage": 45,</v>
      </c>
    </row>
    <row r="3052" spans="1:4" x14ac:dyDescent="0.55000000000000004">
      <c r="A3052" t="s">
        <v>763</v>
      </c>
      <c r="B3052" t="str">
        <f>VLOOKUP(B3051,Tabelle3!$A$2:$E$33,3,FALSE)</f>
        <v>Parrying High</v>
      </c>
      <c r="C3052" t="s">
        <v>762</v>
      </c>
      <c r="D3052" t="str">
        <f t="shared" ref="D3052" si="2514">_xlfn.CONCAT(A3052:C3052)</f>
        <v xml:space="preserve">    "message":  "Parrying High",</v>
      </c>
    </row>
    <row r="3053" spans="1:4" x14ac:dyDescent="0.55000000000000004">
      <c r="A3053" t="s">
        <v>764</v>
      </c>
      <c r="B3053" t="str">
        <f>VLOOKUP(B3051,Tabelle3!$A$2:$E$33,5,FALSE)</f>
        <v/>
      </c>
      <c r="C3053" t="s">
        <v>762</v>
      </c>
      <c r="D3053" t="str">
        <f t="shared" si="2464"/>
        <v xml:space="preserve">    "nextInstruction":  "",</v>
      </c>
    </row>
    <row r="3054" spans="1:4" x14ac:dyDescent="0.55000000000000004">
      <c r="A3054" t="s">
        <v>765</v>
      </c>
      <c r="B3054">
        <f>VLOOKUP(B3051,Tabelle3!$A$2:$E$33,4,FALSE)</f>
        <v>-4</v>
      </c>
      <c r="D3054" t="str">
        <f t="shared" ref="D3054:D3117" si="2515">IF(ISNUMBER(B3054),(A3054&amp;B3054),"")</f>
        <v xml:space="preserve">    "damageModifier": -4</v>
      </c>
    </row>
    <row r="3055" spans="1:4" x14ac:dyDescent="0.55000000000000004">
      <c r="A3055" t="s">
        <v>6</v>
      </c>
      <c r="D3055" t="str">
        <f t="shared" ref="D3055:D3118" si="2516">A3055</f>
        <v xml:space="preserve">  },</v>
      </c>
    </row>
    <row r="3056" spans="1:4" x14ac:dyDescent="0.55000000000000004">
      <c r="A3056" t="s">
        <v>518</v>
      </c>
      <c r="D3056" t="str">
        <f t="shared" si="2516"/>
        <v xml:space="preserve">  "44-8": {</v>
      </c>
    </row>
    <row r="3057" spans="1:4" x14ac:dyDescent="0.55000000000000004">
      <c r="A3057" t="s">
        <v>285</v>
      </c>
      <c r="B3057">
        <f t="shared" ref="B3057" si="2517">_xlfn.NUMBERVALUE(RIGHT(A3057,2))</f>
        <v>15</v>
      </c>
      <c r="D3057" t="str">
        <f t="shared" ref="D3057:D3120" si="2518">A3057&amp;","</f>
        <v xml:space="preserve">    "resultPage": 15,</v>
      </c>
    </row>
    <row r="3058" spans="1:4" x14ac:dyDescent="0.55000000000000004">
      <c r="A3058" t="s">
        <v>763</v>
      </c>
      <c r="B3058" t="str">
        <f>VLOOKUP(B3057,Tabelle3!$A$2:$E$33,3,FALSE)</f>
        <v>Swinging Down</v>
      </c>
      <c r="C3058" t="s">
        <v>762</v>
      </c>
      <c r="D3058" t="str">
        <f t="shared" ref="D3058:D3119" si="2519">_xlfn.CONCAT(A3058:C3058)</f>
        <v xml:space="preserve">    "message":  "Swinging Down",</v>
      </c>
    </row>
    <row r="3059" spans="1:4" x14ac:dyDescent="0.55000000000000004">
      <c r="A3059" t="s">
        <v>764</v>
      </c>
      <c r="B3059" t="str">
        <f>VLOOKUP(B3057,Tabelle3!$A$2:$E$33,5,FALSE)</f>
        <v/>
      </c>
      <c r="C3059" t="s">
        <v>762</v>
      </c>
      <c r="D3059" t="str">
        <f t="shared" si="2519"/>
        <v xml:space="preserve">    "nextInstruction":  "",</v>
      </c>
    </row>
    <row r="3060" spans="1:4" x14ac:dyDescent="0.55000000000000004">
      <c r="A3060" t="s">
        <v>765</v>
      </c>
      <c r="B3060" t="str">
        <f>VLOOKUP(B3057,Tabelle3!$A$2:$E$33,4,FALSE)</f>
        <v>""</v>
      </c>
      <c r="D3060" t="str">
        <f t="shared" ref="D3060:D3123" si="2520">IF(ISNUMBER(B3060),(A3060&amp;B3060),"")</f>
        <v/>
      </c>
    </row>
    <row r="3061" spans="1:4" x14ac:dyDescent="0.55000000000000004">
      <c r="A3061" t="s">
        <v>6</v>
      </c>
      <c r="D3061" t="str">
        <f t="shared" ref="D3061:D3124" si="2521">A3061</f>
        <v xml:space="preserve">  },</v>
      </c>
    </row>
    <row r="3062" spans="1:4" x14ac:dyDescent="0.55000000000000004">
      <c r="A3062" t="s">
        <v>519</v>
      </c>
      <c r="D3062" t="str">
        <f t="shared" si="2521"/>
        <v xml:space="preserve">  "44-10": {</v>
      </c>
    </row>
    <row r="3063" spans="1:4" x14ac:dyDescent="0.55000000000000004">
      <c r="A3063" t="s">
        <v>76</v>
      </c>
      <c r="B3063">
        <f t="shared" ref="B3063" si="2522">_xlfn.NUMBERVALUE(RIGHT(A3063,2))</f>
        <v>45</v>
      </c>
      <c r="D3063" t="str">
        <f t="shared" ref="D3063:D3126" si="2523">A3063&amp;","</f>
        <v xml:space="preserve">    "resultPage": 45,</v>
      </c>
    </row>
    <row r="3064" spans="1:4" x14ac:dyDescent="0.55000000000000004">
      <c r="A3064" t="s">
        <v>763</v>
      </c>
      <c r="B3064" t="str">
        <f>VLOOKUP(B3063,Tabelle3!$A$2:$E$33,3,FALSE)</f>
        <v>Parrying High</v>
      </c>
      <c r="C3064" t="s">
        <v>762</v>
      </c>
      <c r="D3064" t="str">
        <f t="shared" ref="D3064" si="2524">_xlfn.CONCAT(A3064:C3064)</f>
        <v xml:space="preserve">    "message":  "Parrying High",</v>
      </c>
    </row>
    <row r="3065" spans="1:4" x14ac:dyDescent="0.55000000000000004">
      <c r="A3065" t="s">
        <v>764</v>
      </c>
      <c r="B3065" t="str">
        <f>VLOOKUP(B3063,Tabelle3!$A$2:$E$33,5,FALSE)</f>
        <v/>
      </c>
      <c r="C3065" t="s">
        <v>762</v>
      </c>
      <c r="D3065" t="str">
        <f t="shared" si="2519"/>
        <v xml:space="preserve">    "nextInstruction":  "",</v>
      </c>
    </row>
    <row r="3066" spans="1:4" x14ac:dyDescent="0.55000000000000004">
      <c r="A3066" t="s">
        <v>765</v>
      </c>
      <c r="B3066">
        <f>VLOOKUP(B3063,Tabelle3!$A$2:$E$33,4,FALSE)</f>
        <v>-4</v>
      </c>
      <c r="D3066" t="str">
        <f t="shared" ref="D3066:D3129" si="2525">IF(ISNUMBER(B3066),(A3066&amp;B3066),"")</f>
        <v xml:space="preserve">    "damageModifier": -4</v>
      </c>
    </row>
    <row r="3067" spans="1:4" x14ac:dyDescent="0.55000000000000004">
      <c r="A3067" t="s">
        <v>6</v>
      </c>
      <c r="D3067" t="str">
        <f t="shared" ref="D3067:D3130" si="2526">A3067</f>
        <v xml:space="preserve">  },</v>
      </c>
    </row>
    <row r="3068" spans="1:4" x14ac:dyDescent="0.55000000000000004">
      <c r="A3068" t="s">
        <v>520</v>
      </c>
      <c r="D3068" t="str">
        <f t="shared" si="2526"/>
        <v xml:space="preserve">  "44-12": {</v>
      </c>
    </row>
    <row r="3069" spans="1:4" x14ac:dyDescent="0.55000000000000004">
      <c r="A3069" t="s">
        <v>285</v>
      </c>
      <c r="B3069">
        <f t="shared" ref="B3069" si="2527">_xlfn.NUMBERVALUE(RIGHT(A3069,2))</f>
        <v>15</v>
      </c>
      <c r="D3069" t="str">
        <f t="shared" ref="D3069:D3132" si="2528">A3069&amp;","</f>
        <v xml:space="preserve">    "resultPage": 15,</v>
      </c>
    </row>
    <row r="3070" spans="1:4" x14ac:dyDescent="0.55000000000000004">
      <c r="A3070" t="s">
        <v>763</v>
      </c>
      <c r="B3070" t="str">
        <f>VLOOKUP(B3069,Tabelle3!$A$2:$E$33,3,FALSE)</f>
        <v>Swinging Down</v>
      </c>
      <c r="C3070" t="s">
        <v>762</v>
      </c>
      <c r="D3070" t="str">
        <f t="shared" ref="D3070" si="2529">_xlfn.CONCAT(A3070:C3070)</f>
        <v xml:space="preserve">    "message":  "Swinging Down",</v>
      </c>
    </row>
    <row r="3071" spans="1:4" x14ac:dyDescent="0.55000000000000004">
      <c r="A3071" t="s">
        <v>764</v>
      </c>
      <c r="B3071" t="str">
        <f>VLOOKUP(B3069,Tabelle3!$A$2:$E$33,5,FALSE)</f>
        <v/>
      </c>
      <c r="C3071" t="s">
        <v>762</v>
      </c>
      <c r="D3071" t="str">
        <f t="shared" si="2519"/>
        <v xml:space="preserve">    "nextInstruction":  "",</v>
      </c>
    </row>
    <row r="3072" spans="1:4" x14ac:dyDescent="0.55000000000000004">
      <c r="A3072" t="s">
        <v>765</v>
      </c>
      <c r="B3072" t="str">
        <f>VLOOKUP(B3069,Tabelle3!$A$2:$E$33,4,FALSE)</f>
        <v>""</v>
      </c>
      <c r="D3072" t="str">
        <f t="shared" ref="D3072:D3135" si="2530">IF(ISNUMBER(B3072),(A3072&amp;B3072),"")</f>
        <v/>
      </c>
    </row>
    <row r="3073" spans="1:4" x14ac:dyDescent="0.55000000000000004">
      <c r="A3073" t="s">
        <v>6</v>
      </c>
      <c r="D3073" t="str">
        <f t="shared" ref="D3073:D3136" si="2531">A3073</f>
        <v xml:space="preserve">  },</v>
      </c>
    </row>
    <row r="3074" spans="1:4" x14ac:dyDescent="0.55000000000000004">
      <c r="A3074" t="s">
        <v>521</v>
      </c>
      <c r="D3074" t="str">
        <f t="shared" si="2531"/>
        <v xml:space="preserve">  "44-14": {</v>
      </c>
    </row>
    <row r="3075" spans="1:4" x14ac:dyDescent="0.55000000000000004">
      <c r="A3075" t="s">
        <v>285</v>
      </c>
      <c r="B3075">
        <f t="shared" ref="B3075" si="2532">_xlfn.NUMBERVALUE(RIGHT(A3075,2))</f>
        <v>15</v>
      </c>
      <c r="D3075" t="str">
        <f t="shared" ref="D3075:D3138" si="2533">A3075&amp;","</f>
        <v xml:space="preserve">    "resultPage": 15,</v>
      </c>
    </row>
    <row r="3076" spans="1:4" x14ac:dyDescent="0.55000000000000004">
      <c r="A3076" t="s">
        <v>763</v>
      </c>
      <c r="B3076" t="str">
        <f>VLOOKUP(B3075,Tabelle3!$A$2:$E$33,3,FALSE)</f>
        <v>Swinging Down</v>
      </c>
      <c r="C3076" t="s">
        <v>762</v>
      </c>
      <c r="D3076" t="str">
        <f t="shared" ref="D3076" si="2534">_xlfn.CONCAT(A3076:C3076)</f>
        <v xml:space="preserve">    "message":  "Swinging Down",</v>
      </c>
    </row>
    <row r="3077" spans="1:4" x14ac:dyDescent="0.55000000000000004">
      <c r="A3077" t="s">
        <v>764</v>
      </c>
      <c r="B3077" t="str">
        <f>VLOOKUP(B3075,Tabelle3!$A$2:$E$33,5,FALSE)</f>
        <v/>
      </c>
      <c r="C3077" t="s">
        <v>762</v>
      </c>
      <c r="D3077" t="str">
        <f t="shared" si="2519"/>
        <v xml:space="preserve">    "nextInstruction":  "",</v>
      </c>
    </row>
    <row r="3078" spans="1:4" x14ac:dyDescent="0.55000000000000004">
      <c r="A3078" t="s">
        <v>765</v>
      </c>
      <c r="B3078" t="str">
        <f>VLOOKUP(B3075,Tabelle3!$A$2:$E$33,4,FALSE)</f>
        <v>""</v>
      </c>
      <c r="D3078" t="str">
        <f t="shared" ref="D3078:D3141" si="2535">IF(ISNUMBER(B3078),(A3078&amp;B3078),"")</f>
        <v/>
      </c>
    </row>
    <row r="3079" spans="1:4" x14ac:dyDescent="0.55000000000000004">
      <c r="A3079" t="s">
        <v>6</v>
      </c>
      <c r="D3079" t="str">
        <f t="shared" ref="D3079:D3142" si="2536">A3079</f>
        <v xml:space="preserve">  },</v>
      </c>
    </row>
    <row r="3080" spans="1:4" x14ac:dyDescent="0.55000000000000004">
      <c r="A3080" t="s">
        <v>522</v>
      </c>
      <c r="D3080" t="str">
        <f t="shared" si="2536"/>
        <v xml:space="preserve">  "44-16": {</v>
      </c>
    </row>
    <row r="3081" spans="1:4" x14ac:dyDescent="0.55000000000000004">
      <c r="A3081" t="s">
        <v>15</v>
      </c>
      <c r="B3081">
        <f t="shared" ref="B3081" si="2537">_xlfn.NUMBERVALUE(RIGHT(A3081,2))</f>
        <v>57</v>
      </c>
      <c r="D3081" t="str">
        <f t="shared" ref="D3081:D3144" si="2538">A3081&amp;","</f>
        <v xml:space="preserve">    "resultPage": 57,</v>
      </c>
    </row>
    <row r="3082" spans="1:4" x14ac:dyDescent="0.55000000000000004">
      <c r="A3082" t="s">
        <v>763</v>
      </c>
      <c r="B3082" t="str">
        <f>VLOOKUP(B3081,Tabelle3!$A$2:$E$33,3,FALSE)</f>
        <v>Extended Range Blocking</v>
      </c>
      <c r="C3082" t="s">
        <v>762</v>
      </c>
      <c r="D3082" t="str">
        <f t="shared" ref="D3082" si="2539">_xlfn.CONCAT(A3082:C3082)</f>
        <v xml:space="preserve">    "message":  "Extended Range Blocking",</v>
      </c>
    </row>
    <row r="3083" spans="1:4" x14ac:dyDescent="0.55000000000000004">
      <c r="A3083" t="s">
        <v>764</v>
      </c>
      <c r="B3083" t="str">
        <f>VLOOKUP(B3081,Tabelle3!$A$2:$E$33,5,FALSE)</f>
        <v>Only Extended Range</v>
      </c>
      <c r="C3083" t="s">
        <v>762</v>
      </c>
      <c r="D3083" t="str">
        <f t="shared" si="2519"/>
        <v xml:space="preserve">    "nextInstruction":  "Only Extended Range",</v>
      </c>
    </row>
    <row r="3084" spans="1:4" x14ac:dyDescent="0.55000000000000004">
      <c r="A3084" t="s">
        <v>765</v>
      </c>
      <c r="B3084" t="str">
        <f>VLOOKUP(B3081,Tabelle3!$A$2:$E$33,4,FALSE)</f>
        <v>""</v>
      </c>
      <c r="D3084" t="str">
        <f t="shared" ref="D3084:D3147" si="2540">IF(ISNUMBER(B3084),(A3084&amp;B3084),"")</f>
        <v/>
      </c>
    </row>
    <row r="3085" spans="1:4" x14ac:dyDescent="0.55000000000000004">
      <c r="A3085" t="s">
        <v>6</v>
      </c>
      <c r="D3085" t="str">
        <f t="shared" ref="D3085:D3148" si="2541">A3085</f>
        <v xml:space="preserve">  },</v>
      </c>
    </row>
    <row r="3086" spans="1:4" x14ac:dyDescent="0.55000000000000004">
      <c r="A3086" t="s">
        <v>523</v>
      </c>
      <c r="D3086" t="str">
        <f t="shared" si="2541"/>
        <v xml:space="preserve">  "44-18": {</v>
      </c>
    </row>
    <row r="3087" spans="1:4" x14ac:dyDescent="0.55000000000000004">
      <c r="A3087" t="s">
        <v>285</v>
      </c>
      <c r="B3087">
        <f t="shared" ref="B3087" si="2542">_xlfn.NUMBERVALUE(RIGHT(A3087,2))</f>
        <v>15</v>
      </c>
      <c r="D3087" t="str">
        <f t="shared" ref="D3087:D3150" si="2543">A3087&amp;","</f>
        <v xml:space="preserve">    "resultPage": 15,</v>
      </c>
    </row>
    <row r="3088" spans="1:4" x14ac:dyDescent="0.55000000000000004">
      <c r="A3088" t="s">
        <v>763</v>
      </c>
      <c r="B3088" t="str">
        <f>VLOOKUP(B3087,Tabelle3!$A$2:$E$33,3,FALSE)</f>
        <v>Swinging Down</v>
      </c>
      <c r="C3088" t="s">
        <v>762</v>
      </c>
      <c r="D3088" t="str">
        <f t="shared" ref="D3088" si="2544">_xlfn.CONCAT(A3088:C3088)</f>
        <v xml:space="preserve">    "message":  "Swinging Down",</v>
      </c>
    </row>
    <row r="3089" spans="1:4" x14ac:dyDescent="0.55000000000000004">
      <c r="A3089" t="s">
        <v>764</v>
      </c>
      <c r="B3089" t="str">
        <f>VLOOKUP(B3087,Tabelle3!$A$2:$E$33,5,FALSE)</f>
        <v/>
      </c>
      <c r="C3089" t="s">
        <v>762</v>
      </c>
      <c r="D3089" t="str">
        <f t="shared" si="2519"/>
        <v xml:space="preserve">    "nextInstruction":  "",</v>
      </c>
    </row>
    <row r="3090" spans="1:4" x14ac:dyDescent="0.55000000000000004">
      <c r="A3090" t="s">
        <v>765</v>
      </c>
      <c r="B3090" t="str">
        <f>VLOOKUP(B3087,Tabelle3!$A$2:$E$33,4,FALSE)</f>
        <v>""</v>
      </c>
      <c r="D3090" t="str">
        <f t="shared" ref="D3090:D3153" si="2545">IF(ISNUMBER(B3090),(A3090&amp;B3090),"")</f>
        <v/>
      </c>
    </row>
    <row r="3091" spans="1:4" x14ac:dyDescent="0.55000000000000004">
      <c r="A3091" t="s">
        <v>6</v>
      </c>
      <c r="D3091" t="str">
        <f t="shared" ref="D3091:D3154" si="2546">A3091</f>
        <v xml:space="preserve">  },</v>
      </c>
    </row>
    <row r="3092" spans="1:4" x14ac:dyDescent="0.55000000000000004">
      <c r="A3092" t="s">
        <v>524</v>
      </c>
      <c r="D3092" t="str">
        <f t="shared" si="2546"/>
        <v xml:space="preserve">  "44-20": {</v>
      </c>
    </row>
    <row r="3093" spans="1:4" x14ac:dyDescent="0.55000000000000004">
      <c r="A3093" t="s">
        <v>285</v>
      </c>
      <c r="B3093">
        <f t="shared" ref="B3093" si="2547">_xlfn.NUMBERVALUE(RIGHT(A3093,2))</f>
        <v>15</v>
      </c>
      <c r="D3093" t="str">
        <f t="shared" ref="D3093:D3156" si="2548">A3093&amp;","</f>
        <v xml:space="preserve">    "resultPage": 15,</v>
      </c>
    </row>
    <row r="3094" spans="1:4" x14ac:dyDescent="0.55000000000000004">
      <c r="A3094" t="s">
        <v>763</v>
      </c>
      <c r="B3094" t="str">
        <f>VLOOKUP(B3093,Tabelle3!$A$2:$E$33,3,FALSE)</f>
        <v>Swinging Down</v>
      </c>
      <c r="C3094" t="s">
        <v>762</v>
      </c>
      <c r="D3094" t="str">
        <f t="shared" ref="D3094" si="2549">_xlfn.CONCAT(A3094:C3094)</f>
        <v xml:space="preserve">    "message":  "Swinging Down",</v>
      </c>
    </row>
    <row r="3095" spans="1:4" x14ac:dyDescent="0.55000000000000004">
      <c r="A3095" t="s">
        <v>764</v>
      </c>
      <c r="B3095" t="str">
        <f>VLOOKUP(B3093,Tabelle3!$A$2:$E$33,5,FALSE)</f>
        <v/>
      </c>
      <c r="C3095" t="s">
        <v>762</v>
      </c>
      <c r="D3095" t="str">
        <f t="shared" si="2519"/>
        <v xml:space="preserve">    "nextInstruction":  "",</v>
      </c>
    </row>
    <row r="3096" spans="1:4" x14ac:dyDescent="0.55000000000000004">
      <c r="A3096" t="s">
        <v>765</v>
      </c>
      <c r="B3096" t="str">
        <f>VLOOKUP(B3093,Tabelle3!$A$2:$E$33,4,FALSE)</f>
        <v>""</v>
      </c>
      <c r="D3096" t="str">
        <f t="shared" ref="D3096:D3159" si="2550">IF(ISNUMBER(B3096),(A3096&amp;B3096),"")</f>
        <v/>
      </c>
    </row>
    <row r="3097" spans="1:4" x14ac:dyDescent="0.55000000000000004">
      <c r="A3097" t="s">
        <v>6</v>
      </c>
      <c r="D3097" t="str">
        <f t="shared" ref="D3097:D3160" si="2551">A3097</f>
        <v xml:space="preserve">  },</v>
      </c>
    </row>
    <row r="3098" spans="1:4" x14ac:dyDescent="0.55000000000000004">
      <c r="A3098" t="s">
        <v>525</v>
      </c>
      <c r="D3098" t="str">
        <f t="shared" si="2551"/>
        <v xml:space="preserve">  "44-22": {</v>
      </c>
    </row>
    <row r="3099" spans="1:4" x14ac:dyDescent="0.55000000000000004">
      <c r="A3099" t="s">
        <v>285</v>
      </c>
      <c r="B3099">
        <f t="shared" ref="B3099" si="2552">_xlfn.NUMBERVALUE(RIGHT(A3099,2))</f>
        <v>15</v>
      </c>
      <c r="D3099" t="str">
        <f t="shared" ref="D3099:D3162" si="2553">A3099&amp;","</f>
        <v xml:space="preserve">    "resultPage": 15,</v>
      </c>
    </row>
    <row r="3100" spans="1:4" x14ac:dyDescent="0.55000000000000004">
      <c r="A3100" t="s">
        <v>763</v>
      </c>
      <c r="B3100" t="str">
        <f>VLOOKUP(B3099,Tabelle3!$A$2:$E$33,3,FALSE)</f>
        <v>Swinging Down</v>
      </c>
      <c r="C3100" t="s">
        <v>762</v>
      </c>
      <c r="D3100" t="str">
        <f t="shared" ref="D3100" si="2554">_xlfn.CONCAT(A3100:C3100)</f>
        <v xml:space="preserve">    "message":  "Swinging Down",</v>
      </c>
    </row>
    <row r="3101" spans="1:4" x14ac:dyDescent="0.55000000000000004">
      <c r="A3101" t="s">
        <v>764</v>
      </c>
      <c r="B3101" t="str">
        <f>VLOOKUP(B3099,Tabelle3!$A$2:$E$33,5,FALSE)</f>
        <v/>
      </c>
      <c r="C3101" t="s">
        <v>762</v>
      </c>
      <c r="D3101" t="str">
        <f t="shared" si="2519"/>
        <v xml:space="preserve">    "nextInstruction":  "",</v>
      </c>
    </row>
    <row r="3102" spans="1:4" x14ac:dyDescent="0.55000000000000004">
      <c r="A3102" t="s">
        <v>765</v>
      </c>
      <c r="B3102" t="str">
        <f>VLOOKUP(B3099,Tabelle3!$A$2:$E$33,4,FALSE)</f>
        <v>""</v>
      </c>
      <c r="D3102" t="str">
        <f t="shared" ref="D3102:D3165" si="2555">IF(ISNUMBER(B3102),(A3102&amp;B3102),"")</f>
        <v/>
      </c>
    </row>
    <row r="3103" spans="1:4" x14ac:dyDescent="0.55000000000000004">
      <c r="A3103" t="s">
        <v>6</v>
      </c>
      <c r="D3103" t="str">
        <f t="shared" ref="D3103:D3166" si="2556">A3103</f>
        <v xml:space="preserve">  },</v>
      </c>
    </row>
    <row r="3104" spans="1:4" x14ac:dyDescent="0.55000000000000004">
      <c r="A3104" t="s">
        <v>526</v>
      </c>
      <c r="D3104" t="str">
        <f t="shared" si="2556"/>
        <v xml:space="preserve">  "44-24": {</v>
      </c>
    </row>
    <row r="3105" spans="1:4" x14ac:dyDescent="0.55000000000000004">
      <c r="A3105" t="s">
        <v>285</v>
      </c>
      <c r="B3105">
        <f t="shared" ref="B3105" si="2557">_xlfn.NUMBERVALUE(RIGHT(A3105,2))</f>
        <v>15</v>
      </c>
      <c r="D3105" t="str">
        <f t="shared" ref="D3105:D3168" si="2558">A3105&amp;","</f>
        <v xml:space="preserve">    "resultPage": 15,</v>
      </c>
    </row>
    <row r="3106" spans="1:4" x14ac:dyDescent="0.55000000000000004">
      <c r="A3106" t="s">
        <v>763</v>
      </c>
      <c r="B3106" t="str">
        <f>VLOOKUP(B3105,Tabelle3!$A$2:$E$33,3,FALSE)</f>
        <v>Swinging Down</v>
      </c>
      <c r="C3106" t="s">
        <v>762</v>
      </c>
      <c r="D3106" t="str">
        <f t="shared" ref="D3106" si="2559">_xlfn.CONCAT(A3106:C3106)</f>
        <v xml:space="preserve">    "message":  "Swinging Down",</v>
      </c>
    </row>
    <row r="3107" spans="1:4" x14ac:dyDescent="0.55000000000000004">
      <c r="A3107" t="s">
        <v>764</v>
      </c>
      <c r="B3107" t="str">
        <f>VLOOKUP(B3105,Tabelle3!$A$2:$E$33,5,FALSE)</f>
        <v/>
      </c>
      <c r="C3107" t="s">
        <v>762</v>
      </c>
      <c r="D3107" t="str">
        <f t="shared" si="2519"/>
        <v xml:space="preserve">    "nextInstruction":  "",</v>
      </c>
    </row>
    <row r="3108" spans="1:4" x14ac:dyDescent="0.55000000000000004">
      <c r="A3108" t="s">
        <v>765</v>
      </c>
      <c r="B3108" t="str">
        <f>VLOOKUP(B3105,Tabelle3!$A$2:$E$33,4,FALSE)</f>
        <v>""</v>
      </c>
      <c r="D3108" t="str">
        <f t="shared" ref="D3108:D3171" si="2560">IF(ISNUMBER(B3108),(A3108&amp;B3108),"")</f>
        <v/>
      </c>
    </row>
    <row r="3109" spans="1:4" x14ac:dyDescent="0.55000000000000004">
      <c r="A3109" t="s">
        <v>6</v>
      </c>
      <c r="D3109" t="str">
        <f t="shared" ref="D3109:D3172" si="2561">A3109</f>
        <v xml:space="preserve">  },</v>
      </c>
    </row>
    <row r="3110" spans="1:4" x14ac:dyDescent="0.55000000000000004">
      <c r="A3110" t="s">
        <v>527</v>
      </c>
      <c r="D3110" t="str">
        <f t="shared" si="2561"/>
        <v xml:space="preserve">  "44-26": {</v>
      </c>
    </row>
    <row r="3111" spans="1:4" x14ac:dyDescent="0.55000000000000004">
      <c r="A3111" t="s">
        <v>35</v>
      </c>
      <c r="B3111">
        <f t="shared" ref="B3111" si="2562">_xlfn.NUMBERVALUE(RIGHT(A3111,2))</f>
        <v>59</v>
      </c>
      <c r="D3111" t="str">
        <f t="shared" ref="D3111:D3174" si="2563">A3111&amp;","</f>
        <v xml:space="preserve">    "resultPage": 59,</v>
      </c>
    </row>
    <row r="3112" spans="1:4" x14ac:dyDescent="0.55000000000000004">
      <c r="A3112" t="s">
        <v>763</v>
      </c>
      <c r="B3112" t="str">
        <f>VLOOKUP(B3111,Tabelle3!$A$2:$E$33,3,FALSE)</f>
        <v>Pushed off Balance</v>
      </c>
      <c r="C3112" t="s">
        <v>762</v>
      </c>
      <c r="D3112" t="str">
        <f t="shared" ref="D3112" si="2564">_xlfn.CONCAT(A3112:C3112)</f>
        <v xml:space="preserve">    "message":  "Pushed off Balance",</v>
      </c>
    </row>
    <row r="3113" spans="1:4" x14ac:dyDescent="0.55000000000000004">
      <c r="A3113" t="s">
        <v>764</v>
      </c>
      <c r="B3113" t="str">
        <f>VLOOKUP(B3111,Tabelle3!$A$2:$E$33,5,FALSE)</f>
        <v>Only Green Only Yellow</v>
      </c>
      <c r="C3113" t="s">
        <v>762</v>
      </c>
      <c r="D3113" t="str">
        <f t="shared" si="2519"/>
        <v xml:space="preserve">    "nextInstruction":  "Only Green Only Yellow",</v>
      </c>
    </row>
    <row r="3114" spans="1:4" x14ac:dyDescent="0.55000000000000004">
      <c r="A3114" t="s">
        <v>765</v>
      </c>
      <c r="B3114">
        <f>VLOOKUP(B3111,Tabelle3!$A$2:$E$33,4,FALSE)</f>
        <v>0</v>
      </c>
      <c r="D3114" t="str">
        <f t="shared" ref="D3114:D3177" si="2565">IF(ISNUMBER(B3114),(A3114&amp;B3114),"")</f>
        <v xml:space="preserve">    "damageModifier": 0</v>
      </c>
    </row>
    <row r="3115" spans="1:4" x14ac:dyDescent="0.55000000000000004">
      <c r="A3115" t="s">
        <v>6</v>
      </c>
      <c r="D3115" t="str">
        <f t="shared" ref="D3115:D3178" si="2566">A3115</f>
        <v xml:space="preserve">  },</v>
      </c>
    </row>
    <row r="3116" spans="1:4" x14ac:dyDescent="0.55000000000000004">
      <c r="A3116" t="s">
        <v>528</v>
      </c>
      <c r="D3116" t="str">
        <f t="shared" si="2566"/>
        <v xml:space="preserve">  "44-28": {</v>
      </c>
    </row>
    <row r="3117" spans="1:4" x14ac:dyDescent="0.55000000000000004">
      <c r="A3117" t="s">
        <v>285</v>
      </c>
      <c r="B3117">
        <f t="shared" ref="B3117" si="2567">_xlfn.NUMBERVALUE(RIGHT(A3117,2))</f>
        <v>15</v>
      </c>
      <c r="D3117" t="str">
        <f t="shared" ref="D3117:D3180" si="2568">A3117&amp;","</f>
        <v xml:space="preserve">    "resultPage": 15,</v>
      </c>
    </row>
    <row r="3118" spans="1:4" x14ac:dyDescent="0.55000000000000004">
      <c r="A3118" t="s">
        <v>763</v>
      </c>
      <c r="B3118" t="str">
        <f>VLOOKUP(B3117,Tabelle3!$A$2:$E$33,3,FALSE)</f>
        <v>Swinging Down</v>
      </c>
      <c r="C3118" t="s">
        <v>762</v>
      </c>
      <c r="D3118" t="str">
        <f t="shared" ref="D3118" si="2569">_xlfn.CONCAT(A3118:C3118)</f>
        <v xml:space="preserve">    "message":  "Swinging Down",</v>
      </c>
    </row>
    <row r="3119" spans="1:4" x14ac:dyDescent="0.55000000000000004">
      <c r="A3119" t="s">
        <v>764</v>
      </c>
      <c r="B3119" t="str">
        <f>VLOOKUP(B3117,Tabelle3!$A$2:$E$33,5,FALSE)</f>
        <v/>
      </c>
      <c r="C3119" t="s">
        <v>762</v>
      </c>
      <c r="D3119" t="str">
        <f t="shared" si="2519"/>
        <v xml:space="preserve">    "nextInstruction":  "",</v>
      </c>
    </row>
    <row r="3120" spans="1:4" x14ac:dyDescent="0.55000000000000004">
      <c r="A3120" t="s">
        <v>765</v>
      </c>
      <c r="B3120" t="str">
        <f>VLOOKUP(B3117,Tabelle3!$A$2:$E$33,4,FALSE)</f>
        <v>""</v>
      </c>
      <c r="D3120" t="str">
        <f t="shared" ref="D3120:D3183" si="2570">IF(ISNUMBER(B3120),(A3120&amp;B3120),"")</f>
        <v/>
      </c>
    </row>
    <row r="3121" spans="1:4" x14ac:dyDescent="0.55000000000000004">
      <c r="A3121" t="s">
        <v>6</v>
      </c>
      <c r="D3121" t="str">
        <f t="shared" ref="D3121:D3184" si="2571">A3121</f>
        <v xml:space="preserve">  },</v>
      </c>
    </row>
    <row r="3122" spans="1:4" x14ac:dyDescent="0.55000000000000004">
      <c r="A3122" t="s">
        <v>529</v>
      </c>
      <c r="D3122" t="str">
        <f t="shared" si="2571"/>
        <v xml:space="preserve">  "44-30": {</v>
      </c>
    </row>
    <row r="3123" spans="1:4" x14ac:dyDescent="0.55000000000000004">
      <c r="A3123" t="s">
        <v>285</v>
      </c>
      <c r="B3123">
        <f t="shared" ref="B3123" si="2572">_xlfn.NUMBERVALUE(RIGHT(A3123,2))</f>
        <v>15</v>
      </c>
      <c r="D3123" t="str">
        <f t="shared" ref="D3123:D3186" si="2573">A3123&amp;","</f>
        <v xml:space="preserve">    "resultPage": 15,</v>
      </c>
    </row>
    <row r="3124" spans="1:4" x14ac:dyDescent="0.55000000000000004">
      <c r="A3124" t="s">
        <v>763</v>
      </c>
      <c r="B3124" t="str">
        <f>VLOOKUP(B3123,Tabelle3!$A$2:$E$33,3,FALSE)</f>
        <v>Swinging Down</v>
      </c>
      <c r="C3124" t="s">
        <v>762</v>
      </c>
      <c r="D3124" t="str">
        <f t="shared" ref="D3124:D3185" si="2574">_xlfn.CONCAT(A3124:C3124)</f>
        <v xml:space="preserve">    "message":  "Swinging Down",</v>
      </c>
    </row>
    <row r="3125" spans="1:4" x14ac:dyDescent="0.55000000000000004">
      <c r="A3125" t="s">
        <v>764</v>
      </c>
      <c r="B3125" t="str">
        <f>VLOOKUP(B3123,Tabelle3!$A$2:$E$33,5,FALSE)</f>
        <v/>
      </c>
      <c r="C3125" t="s">
        <v>762</v>
      </c>
      <c r="D3125" t="str">
        <f t="shared" si="2574"/>
        <v xml:space="preserve">    "nextInstruction":  "",</v>
      </c>
    </row>
    <row r="3126" spans="1:4" x14ac:dyDescent="0.55000000000000004">
      <c r="A3126" t="s">
        <v>765</v>
      </c>
      <c r="B3126" t="str">
        <f>VLOOKUP(B3123,Tabelle3!$A$2:$E$33,4,FALSE)</f>
        <v>""</v>
      </c>
      <c r="D3126" t="str">
        <f t="shared" ref="D3126:D3189" si="2575">IF(ISNUMBER(B3126),(A3126&amp;B3126),"")</f>
        <v/>
      </c>
    </row>
    <row r="3127" spans="1:4" x14ac:dyDescent="0.55000000000000004">
      <c r="A3127" t="s">
        <v>6</v>
      </c>
      <c r="D3127" t="str">
        <f t="shared" ref="D3127:D3190" si="2576">A3127</f>
        <v xml:space="preserve">  },</v>
      </c>
    </row>
    <row r="3128" spans="1:4" x14ac:dyDescent="0.55000000000000004">
      <c r="A3128" t="s">
        <v>530</v>
      </c>
      <c r="D3128" t="str">
        <f t="shared" si="2576"/>
        <v xml:space="preserve">  "44-32": {</v>
      </c>
    </row>
    <row r="3129" spans="1:4" x14ac:dyDescent="0.55000000000000004">
      <c r="A3129" t="s">
        <v>76</v>
      </c>
      <c r="B3129">
        <f t="shared" ref="B3129" si="2577">_xlfn.NUMBERVALUE(RIGHT(A3129,2))</f>
        <v>45</v>
      </c>
      <c r="D3129" t="str">
        <f t="shared" ref="D3129:D3192" si="2578">A3129&amp;","</f>
        <v xml:space="preserve">    "resultPage": 45,</v>
      </c>
    </row>
    <row r="3130" spans="1:4" x14ac:dyDescent="0.55000000000000004">
      <c r="A3130" t="s">
        <v>763</v>
      </c>
      <c r="B3130" t="str">
        <f>VLOOKUP(B3129,Tabelle3!$A$2:$E$33,3,FALSE)</f>
        <v>Parrying High</v>
      </c>
      <c r="C3130" t="s">
        <v>762</v>
      </c>
      <c r="D3130" t="str">
        <f t="shared" ref="D3130" si="2579">_xlfn.CONCAT(A3130:C3130)</f>
        <v xml:space="preserve">    "message":  "Parrying High",</v>
      </c>
    </row>
    <row r="3131" spans="1:4" x14ac:dyDescent="0.55000000000000004">
      <c r="A3131" t="s">
        <v>764</v>
      </c>
      <c r="B3131" t="str">
        <f>VLOOKUP(B3129,Tabelle3!$A$2:$E$33,5,FALSE)</f>
        <v/>
      </c>
      <c r="C3131" t="s">
        <v>762</v>
      </c>
      <c r="D3131" t="str">
        <f t="shared" si="2574"/>
        <v xml:space="preserve">    "nextInstruction":  "",</v>
      </c>
    </row>
    <row r="3132" spans="1:4" x14ac:dyDescent="0.55000000000000004">
      <c r="A3132" t="s">
        <v>765</v>
      </c>
      <c r="B3132">
        <f>VLOOKUP(B3129,Tabelle3!$A$2:$E$33,4,FALSE)</f>
        <v>-4</v>
      </c>
      <c r="D3132" t="str">
        <f t="shared" ref="D3132:D3195" si="2580">IF(ISNUMBER(B3132),(A3132&amp;B3132),"")</f>
        <v xml:space="preserve">    "damageModifier": -4</v>
      </c>
    </row>
    <row r="3133" spans="1:4" x14ac:dyDescent="0.55000000000000004">
      <c r="A3133" t="s">
        <v>6</v>
      </c>
      <c r="D3133" t="str">
        <f t="shared" ref="D3133:D3196" si="2581">A3133</f>
        <v xml:space="preserve">  },</v>
      </c>
    </row>
    <row r="3134" spans="1:4" x14ac:dyDescent="0.55000000000000004">
      <c r="A3134" t="s">
        <v>531</v>
      </c>
      <c r="D3134" t="str">
        <f t="shared" si="2581"/>
        <v xml:space="preserve">  "44-34": {</v>
      </c>
    </row>
    <row r="3135" spans="1:4" x14ac:dyDescent="0.55000000000000004">
      <c r="A3135" t="s">
        <v>285</v>
      </c>
      <c r="B3135">
        <f t="shared" ref="B3135" si="2582">_xlfn.NUMBERVALUE(RIGHT(A3135,2))</f>
        <v>15</v>
      </c>
      <c r="D3135" t="str">
        <f t="shared" ref="D3135:D3198" si="2583">A3135&amp;","</f>
        <v xml:space="preserve">    "resultPage": 15,</v>
      </c>
    </row>
    <row r="3136" spans="1:4" x14ac:dyDescent="0.55000000000000004">
      <c r="A3136" t="s">
        <v>763</v>
      </c>
      <c r="B3136" t="str">
        <f>VLOOKUP(B3135,Tabelle3!$A$2:$E$33,3,FALSE)</f>
        <v>Swinging Down</v>
      </c>
      <c r="C3136" t="s">
        <v>762</v>
      </c>
      <c r="D3136" t="str">
        <f t="shared" ref="D3136" si="2584">_xlfn.CONCAT(A3136:C3136)</f>
        <v xml:space="preserve">    "message":  "Swinging Down",</v>
      </c>
    </row>
    <row r="3137" spans="1:4" x14ac:dyDescent="0.55000000000000004">
      <c r="A3137" t="s">
        <v>764</v>
      </c>
      <c r="B3137" t="str">
        <f>VLOOKUP(B3135,Tabelle3!$A$2:$E$33,5,FALSE)</f>
        <v/>
      </c>
      <c r="C3137" t="s">
        <v>762</v>
      </c>
      <c r="D3137" t="str">
        <f t="shared" si="2574"/>
        <v xml:space="preserve">    "nextInstruction":  "",</v>
      </c>
    </row>
    <row r="3138" spans="1:4" x14ac:dyDescent="0.55000000000000004">
      <c r="A3138" t="s">
        <v>765</v>
      </c>
      <c r="B3138" t="str">
        <f>VLOOKUP(B3135,Tabelle3!$A$2:$E$33,4,FALSE)</f>
        <v>""</v>
      </c>
      <c r="D3138" t="str">
        <f t="shared" ref="D3138:D3201" si="2585">IF(ISNUMBER(B3138),(A3138&amp;B3138),"")</f>
        <v/>
      </c>
    </row>
    <row r="3139" spans="1:4" x14ac:dyDescent="0.55000000000000004">
      <c r="A3139" t="s">
        <v>6</v>
      </c>
      <c r="D3139" t="str">
        <f t="shared" ref="D3139:D3202" si="2586">A3139</f>
        <v xml:space="preserve">  },</v>
      </c>
    </row>
    <row r="3140" spans="1:4" x14ac:dyDescent="0.55000000000000004">
      <c r="A3140" t="s">
        <v>532</v>
      </c>
      <c r="D3140" t="str">
        <f t="shared" si="2586"/>
        <v xml:space="preserve">  "44-36": {</v>
      </c>
    </row>
    <row r="3141" spans="1:4" x14ac:dyDescent="0.55000000000000004">
      <c r="A3141" t="s">
        <v>82</v>
      </c>
      <c r="B3141">
        <f t="shared" ref="B3141" si="2587">_xlfn.NUMBERVALUE(RIGHT(A3141,2))</f>
        <v>55</v>
      </c>
      <c r="D3141" t="str">
        <f t="shared" ref="D3141:D3204" si="2588">A3141&amp;","</f>
        <v xml:space="preserve">    "resultPage": 55,</v>
      </c>
    </row>
    <row r="3142" spans="1:4" x14ac:dyDescent="0.55000000000000004">
      <c r="A3142" t="s">
        <v>763</v>
      </c>
      <c r="B3142" t="str">
        <f>VLOOKUP(B3141,Tabelle3!$A$2:$E$33,3,FALSE)</f>
        <v>Shield Smahed</v>
      </c>
      <c r="C3142" t="s">
        <v>762</v>
      </c>
      <c r="D3142" t="str">
        <f t="shared" ref="D3142" si="2589">_xlfn.CONCAT(A3142:C3142)</f>
        <v xml:space="preserve">    "message":  "Shield Smahed",</v>
      </c>
    </row>
    <row r="3143" spans="1:4" x14ac:dyDescent="0.55000000000000004">
      <c r="A3143" t="s">
        <v>764</v>
      </c>
      <c r="B3143" t="str">
        <f>VLOOKUP(B3141,Tabelle3!$A$2:$E$33,5,FALSE)</f>
        <v>No Blocks for the rest of the game No Protected Attacks for the rest of the game</v>
      </c>
      <c r="C3143" t="s">
        <v>762</v>
      </c>
      <c r="D3143" t="str">
        <f t="shared" si="2574"/>
        <v xml:space="preserve">    "nextInstruction":  "No Blocks for the rest of the game No Protected Attacks for the rest of the game",</v>
      </c>
    </row>
    <row r="3144" spans="1:4" x14ac:dyDescent="0.55000000000000004">
      <c r="A3144" t="s">
        <v>765</v>
      </c>
      <c r="B3144">
        <f>VLOOKUP(B3141,Tabelle3!$A$2:$E$33,4,FALSE)</f>
        <v>0</v>
      </c>
      <c r="D3144" t="str">
        <f t="shared" ref="D3144:D3207" si="2590">IF(ISNUMBER(B3144),(A3144&amp;B3144),"")</f>
        <v xml:space="preserve">    "damageModifier": 0</v>
      </c>
    </row>
    <row r="3145" spans="1:4" x14ac:dyDescent="0.55000000000000004">
      <c r="A3145" t="s">
        <v>6</v>
      </c>
      <c r="D3145" t="str">
        <f t="shared" ref="D3145:D3208" si="2591">A3145</f>
        <v xml:space="preserve">  },</v>
      </c>
    </row>
    <row r="3146" spans="1:4" x14ac:dyDescent="0.55000000000000004">
      <c r="A3146" t="s">
        <v>533</v>
      </c>
      <c r="D3146" t="str">
        <f t="shared" si="2591"/>
        <v xml:space="preserve">  "44-38": {</v>
      </c>
    </row>
    <row r="3147" spans="1:4" x14ac:dyDescent="0.55000000000000004">
      <c r="A3147" t="s">
        <v>76</v>
      </c>
      <c r="B3147">
        <f t="shared" ref="B3147" si="2592">_xlfn.NUMBERVALUE(RIGHT(A3147,2))</f>
        <v>45</v>
      </c>
      <c r="D3147" t="str">
        <f t="shared" ref="D3147:D3210" si="2593">A3147&amp;","</f>
        <v xml:space="preserve">    "resultPage": 45,</v>
      </c>
    </row>
    <row r="3148" spans="1:4" x14ac:dyDescent="0.55000000000000004">
      <c r="A3148" t="s">
        <v>763</v>
      </c>
      <c r="B3148" t="str">
        <f>VLOOKUP(B3147,Tabelle3!$A$2:$E$33,3,FALSE)</f>
        <v>Parrying High</v>
      </c>
      <c r="C3148" t="s">
        <v>762</v>
      </c>
      <c r="D3148" t="str">
        <f t="shared" ref="D3148" si="2594">_xlfn.CONCAT(A3148:C3148)</f>
        <v xml:space="preserve">    "message":  "Parrying High",</v>
      </c>
    </row>
    <row r="3149" spans="1:4" x14ac:dyDescent="0.55000000000000004">
      <c r="A3149" t="s">
        <v>764</v>
      </c>
      <c r="B3149" t="str">
        <f>VLOOKUP(B3147,Tabelle3!$A$2:$E$33,5,FALSE)</f>
        <v/>
      </c>
      <c r="C3149" t="s">
        <v>762</v>
      </c>
      <c r="D3149" t="str">
        <f t="shared" si="2574"/>
        <v xml:space="preserve">    "nextInstruction":  "",</v>
      </c>
    </row>
    <row r="3150" spans="1:4" x14ac:dyDescent="0.55000000000000004">
      <c r="A3150" t="s">
        <v>765</v>
      </c>
      <c r="B3150">
        <f>VLOOKUP(B3147,Tabelle3!$A$2:$E$33,4,FALSE)</f>
        <v>-4</v>
      </c>
      <c r="D3150" t="str">
        <f t="shared" ref="D3150:D3213" si="2595">IF(ISNUMBER(B3150),(A3150&amp;B3150),"")</f>
        <v xml:space="preserve">    "damageModifier": -4</v>
      </c>
    </row>
    <row r="3151" spans="1:4" x14ac:dyDescent="0.55000000000000004">
      <c r="A3151" t="s">
        <v>6</v>
      </c>
      <c r="D3151" t="str">
        <f t="shared" ref="D3151:D3214" si="2596">A3151</f>
        <v xml:space="preserve">  },</v>
      </c>
    </row>
    <row r="3152" spans="1:4" x14ac:dyDescent="0.55000000000000004">
      <c r="A3152" t="s">
        <v>534</v>
      </c>
      <c r="D3152" t="str">
        <f t="shared" si="2596"/>
        <v xml:space="preserve">  "44-40": {</v>
      </c>
    </row>
    <row r="3153" spans="1:4" x14ac:dyDescent="0.55000000000000004">
      <c r="A3153" t="s">
        <v>285</v>
      </c>
      <c r="B3153">
        <f t="shared" ref="B3153" si="2597">_xlfn.NUMBERVALUE(RIGHT(A3153,2))</f>
        <v>15</v>
      </c>
      <c r="D3153" t="str">
        <f t="shared" ref="D3153:D3216" si="2598">A3153&amp;","</f>
        <v xml:space="preserve">    "resultPage": 15,</v>
      </c>
    </row>
    <row r="3154" spans="1:4" x14ac:dyDescent="0.55000000000000004">
      <c r="A3154" t="s">
        <v>763</v>
      </c>
      <c r="B3154" t="str">
        <f>VLOOKUP(B3153,Tabelle3!$A$2:$E$33,3,FALSE)</f>
        <v>Swinging Down</v>
      </c>
      <c r="C3154" t="s">
        <v>762</v>
      </c>
      <c r="D3154" t="str">
        <f t="shared" ref="D3154" si="2599">_xlfn.CONCAT(A3154:C3154)</f>
        <v xml:space="preserve">    "message":  "Swinging Down",</v>
      </c>
    </row>
    <row r="3155" spans="1:4" x14ac:dyDescent="0.55000000000000004">
      <c r="A3155" t="s">
        <v>764</v>
      </c>
      <c r="B3155" t="str">
        <f>VLOOKUP(B3153,Tabelle3!$A$2:$E$33,5,FALSE)</f>
        <v/>
      </c>
      <c r="C3155" t="s">
        <v>762</v>
      </c>
      <c r="D3155" t="str">
        <f t="shared" si="2574"/>
        <v xml:space="preserve">    "nextInstruction":  "",</v>
      </c>
    </row>
    <row r="3156" spans="1:4" x14ac:dyDescent="0.55000000000000004">
      <c r="A3156" t="s">
        <v>765</v>
      </c>
      <c r="B3156" t="str">
        <f>VLOOKUP(B3153,Tabelle3!$A$2:$E$33,4,FALSE)</f>
        <v>""</v>
      </c>
      <c r="D3156" t="str">
        <f t="shared" ref="D3156:D3219" si="2600">IF(ISNUMBER(B3156),(A3156&amp;B3156),"")</f>
        <v/>
      </c>
    </row>
    <row r="3157" spans="1:4" x14ac:dyDescent="0.55000000000000004">
      <c r="A3157" t="s">
        <v>6</v>
      </c>
      <c r="D3157" t="str">
        <f t="shared" ref="D3157:D3220" si="2601">A3157</f>
        <v xml:space="preserve">  },</v>
      </c>
    </row>
    <row r="3158" spans="1:4" x14ac:dyDescent="0.55000000000000004">
      <c r="A3158" t="s">
        <v>535</v>
      </c>
      <c r="D3158" t="str">
        <f t="shared" si="2601"/>
        <v xml:space="preserve">  "44-42": {</v>
      </c>
    </row>
    <row r="3159" spans="1:4" x14ac:dyDescent="0.55000000000000004">
      <c r="A3159" t="s">
        <v>285</v>
      </c>
      <c r="B3159">
        <f t="shared" ref="B3159" si="2602">_xlfn.NUMBERVALUE(RIGHT(A3159,2))</f>
        <v>15</v>
      </c>
      <c r="D3159" t="str">
        <f t="shared" ref="D3159:D3222" si="2603">A3159&amp;","</f>
        <v xml:space="preserve">    "resultPage": 15,</v>
      </c>
    </row>
    <row r="3160" spans="1:4" x14ac:dyDescent="0.55000000000000004">
      <c r="A3160" t="s">
        <v>763</v>
      </c>
      <c r="B3160" t="str">
        <f>VLOOKUP(B3159,Tabelle3!$A$2:$E$33,3,FALSE)</f>
        <v>Swinging Down</v>
      </c>
      <c r="C3160" t="s">
        <v>762</v>
      </c>
      <c r="D3160" t="str">
        <f t="shared" ref="D3160" si="2604">_xlfn.CONCAT(A3160:C3160)</f>
        <v xml:space="preserve">    "message":  "Swinging Down",</v>
      </c>
    </row>
    <row r="3161" spans="1:4" x14ac:dyDescent="0.55000000000000004">
      <c r="A3161" t="s">
        <v>764</v>
      </c>
      <c r="B3161" t="str">
        <f>VLOOKUP(B3159,Tabelle3!$A$2:$E$33,5,FALSE)</f>
        <v/>
      </c>
      <c r="C3161" t="s">
        <v>762</v>
      </c>
      <c r="D3161" t="str">
        <f t="shared" si="2574"/>
        <v xml:space="preserve">    "nextInstruction":  "",</v>
      </c>
    </row>
    <row r="3162" spans="1:4" x14ac:dyDescent="0.55000000000000004">
      <c r="A3162" t="s">
        <v>765</v>
      </c>
      <c r="B3162" t="str">
        <f>VLOOKUP(B3159,Tabelle3!$A$2:$E$33,4,FALSE)</f>
        <v>""</v>
      </c>
      <c r="D3162" t="str">
        <f t="shared" ref="D3162:D3225" si="2605">IF(ISNUMBER(B3162),(A3162&amp;B3162),"")</f>
        <v/>
      </c>
    </row>
    <row r="3163" spans="1:4" x14ac:dyDescent="0.55000000000000004">
      <c r="A3163" t="s">
        <v>6</v>
      </c>
      <c r="D3163" t="str">
        <f t="shared" ref="D3163:D3226" si="2606">A3163</f>
        <v xml:space="preserve">  },</v>
      </c>
    </row>
    <row r="3164" spans="1:4" x14ac:dyDescent="0.55000000000000004">
      <c r="A3164" t="s">
        <v>536</v>
      </c>
      <c r="D3164" t="str">
        <f t="shared" si="2606"/>
        <v xml:space="preserve">  "44-44": {</v>
      </c>
    </row>
    <row r="3165" spans="1:4" x14ac:dyDescent="0.55000000000000004">
      <c r="A3165" t="s">
        <v>76</v>
      </c>
      <c r="B3165">
        <f t="shared" ref="B3165" si="2607">_xlfn.NUMBERVALUE(RIGHT(A3165,2))</f>
        <v>45</v>
      </c>
      <c r="D3165" t="str">
        <f t="shared" ref="D3165:D3228" si="2608">A3165&amp;","</f>
        <v xml:space="preserve">    "resultPage": 45,</v>
      </c>
    </row>
    <row r="3166" spans="1:4" x14ac:dyDescent="0.55000000000000004">
      <c r="A3166" t="s">
        <v>763</v>
      </c>
      <c r="B3166" t="str">
        <f>VLOOKUP(B3165,Tabelle3!$A$2:$E$33,3,FALSE)</f>
        <v>Parrying High</v>
      </c>
      <c r="C3166" t="s">
        <v>762</v>
      </c>
      <c r="D3166" t="str">
        <f t="shared" ref="D3166" si="2609">_xlfn.CONCAT(A3166:C3166)</f>
        <v xml:space="preserve">    "message":  "Parrying High",</v>
      </c>
    </row>
    <row r="3167" spans="1:4" x14ac:dyDescent="0.55000000000000004">
      <c r="A3167" t="s">
        <v>764</v>
      </c>
      <c r="B3167" t="str">
        <f>VLOOKUP(B3165,Tabelle3!$A$2:$E$33,5,FALSE)</f>
        <v/>
      </c>
      <c r="C3167" t="s">
        <v>762</v>
      </c>
      <c r="D3167" t="str">
        <f t="shared" si="2574"/>
        <v xml:space="preserve">    "nextInstruction":  "",</v>
      </c>
    </row>
    <row r="3168" spans="1:4" x14ac:dyDescent="0.55000000000000004">
      <c r="A3168" t="s">
        <v>765</v>
      </c>
      <c r="B3168">
        <f>VLOOKUP(B3165,Tabelle3!$A$2:$E$33,4,FALSE)</f>
        <v>-4</v>
      </c>
      <c r="D3168" t="str">
        <f t="shared" ref="D3168:D3231" si="2610">IF(ISNUMBER(B3168),(A3168&amp;B3168),"")</f>
        <v xml:space="preserve">    "damageModifier": -4</v>
      </c>
    </row>
    <row r="3169" spans="1:4" x14ac:dyDescent="0.55000000000000004">
      <c r="A3169" t="s">
        <v>6</v>
      </c>
      <c r="D3169" t="str">
        <f t="shared" ref="D3169:D3232" si="2611">A3169</f>
        <v xml:space="preserve">  },</v>
      </c>
    </row>
    <row r="3170" spans="1:4" x14ac:dyDescent="0.55000000000000004">
      <c r="A3170" t="s">
        <v>537</v>
      </c>
      <c r="D3170" t="str">
        <f t="shared" si="2611"/>
        <v xml:space="preserve">  "44-46": {</v>
      </c>
    </row>
    <row r="3171" spans="1:4" x14ac:dyDescent="0.55000000000000004">
      <c r="A3171" t="s">
        <v>285</v>
      </c>
      <c r="B3171">
        <f t="shared" ref="B3171" si="2612">_xlfn.NUMBERVALUE(RIGHT(A3171,2))</f>
        <v>15</v>
      </c>
      <c r="D3171" t="str">
        <f t="shared" ref="D3171:D3234" si="2613">A3171&amp;","</f>
        <v xml:space="preserve">    "resultPage": 15,</v>
      </c>
    </row>
    <row r="3172" spans="1:4" x14ac:dyDescent="0.55000000000000004">
      <c r="A3172" t="s">
        <v>763</v>
      </c>
      <c r="B3172" t="str">
        <f>VLOOKUP(B3171,Tabelle3!$A$2:$E$33,3,FALSE)</f>
        <v>Swinging Down</v>
      </c>
      <c r="C3172" t="s">
        <v>762</v>
      </c>
      <c r="D3172" t="str">
        <f t="shared" ref="D3172" si="2614">_xlfn.CONCAT(A3172:C3172)</f>
        <v xml:space="preserve">    "message":  "Swinging Down",</v>
      </c>
    </row>
    <row r="3173" spans="1:4" x14ac:dyDescent="0.55000000000000004">
      <c r="A3173" t="s">
        <v>764</v>
      </c>
      <c r="B3173" t="str">
        <f>VLOOKUP(B3171,Tabelle3!$A$2:$E$33,5,FALSE)</f>
        <v/>
      </c>
      <c r="C3173" t="s">
        <v>762</v>
      </c>
      <c r="D3173" t="str">
        <f t="shared" si="2574"/>
        <v xml:space="preserve">    "nextInstruction":  "",</v>
      </c>
    </row>
    <row r="3174" spans="1:4" x14ac:dyDescent="0.55000000000000004">
      <c r="A3174" t="s">
        <v>765</v>
      </c>
      <c r="B3174" t="str">
        <f>VLOOKUP(B3171,Tabelle3!$A$2:$E$33,4,FALSE)</f>
        <v>""</v>
      </c>
      <c r="D3174" t="str">
        <f t="shared" ref="D3174:D3237" si="2615">IF(ISNUMBER(B3174),(A3174&amp;B3174),"")</f>
        <v/>
      </c>
    </row>
    <row r="3175" spans="1:4" x14ac:dyDescent="0.55000000000000004">
      <c r="A3175" t="s">
        <v>6</v>
      </c>
      <c r="D3175" t="str">
        <f t="shared" ref="D3175:D3238" si="2616">A3175</f>
        <v xml:space="preserve">  },</v>
      </c>
    </row>
    <row r="3176" spans="1:4" x14ac:dyDescent="0.55000000000000004">
      <c r="A3176" t="s">
        <v>538</v>
      </c>
      <c r="D3176" t="str">
        <f t="shared" si="2616"/>
        <v xml:space="preserve">  "44-48": {</v>
      </c>
    </row>
    <row r="3177" spans="1:4" x14ac:dyDescent="0.55000000000000004">
      <c r="A3177" t="s">
        <v>76</v>
      </c>
      <c r="B3177">
        <f t="shared" ref="B3177" si="2617">_xlfn.NUMBERVALUE(RIGHT(A3177,2))</f>
        <v>45</v>
      </c>
      <c r="D3177" t="str">
        <f t="shared" ref="D3177:D3240" si="2618">A3177&amp;","</f>
        <v xml:space="preserve">    "resultPage": 45,</v>
      </c>
    </row>
    <row r="3178" spans="1:4" x14ac:dyDescent="0.55000000000000004">
      <c r="A3178" t="s">
        <v>763</v>
      </c>
      <c r="B3178" t="str">
        <f>VLOOKUP(B3177,Tabelle3!$A$2:$E$33,3,FALSE)</f>
        <v>Parrying High</v>
      </c>
      <c r="C3178" t="s">
        <v>762</v>
      </c>
      <c r="D3178" t="str">
        <f t="shared" ref="D3178" si="2619">_xlfn.CONCAT(A3178:C3178)</f>
        <v xml:space="preserve">    "message":  "Parrying High",</v>
      </c>
    </row>
    <row r="3179" spans="1:4" x14ac:dyDescent="0.55000000000000004">
      <c r="A3179" t="s">
        <v>764</v>
      </c>
      <c r="B3179" t="str">
        <f>VLOOKUP(B3177,Tabelle3!$A$2:$E$33,5,FALSE)</f>
        <v/>
      </c>
      <c r="C3179" t="s">
        <v>762</v>
      </c>
      <c r="D3179" t="str">
        <f t="shared" si="2574"/>
        <v xml:space="preserve">    "nextInstruction":  "",</v>
      </c>
    </row>
    <row r="3180" spans="1:4" x14ac:dyDescent="0.55000000000000004">
      <c r="A3180" t="s">
        <v>765</v>
      </c>
      <c r="B3180">
        <f>VLOOKUP(B3177,Tabelle3!$A$2:$E$33,4,FALSE)</f>
        <v>-4</v>
      </c>
      <c r="D3180" t="str">
        <f t="shared" ref="D3180:D3243" si="2620">IF(ISNUMBER(B3180),(A3180&amp;B3180),"")</f>
        <v xml:space="preserve">    "damageModifier": -4</v>
      </c>
    </row>
    <row r="3181" spans="1:4" x14ac:dyDescent="0.55000000000000004">
      <c r="A3181" t="s">
        <v>6</v>
      </c>
      <c r="D3181" t="str">
        <f t="shared" ref="D3181:D3244" si="2621">A3181</f>
        <v xml:space="preserve">  },</v>
      </c>
    </row>
    <row r="3182" spans="1:4" x14ac:dyDescent="0.55000000000000004">
      <c r="A3182" t="s">
        <v>539</v>
      </c>
      <c r="D3182" t="str">
        <f t="shared" si="2621"/>
        <v xml:space="preserve">  "46-4": {</v>
      </c>
    </row>
    <row r="3183" spans="1:4" x14ac:dyDescent="0.55000000000000004">
      <c r="A3183" t="s">
        <v>540</v>
      </c>
      <c r="B3183">
        <f t="shared" ref="B3183" si="2622">_xlfn.NUMBERVALUE(RIGHT(A3183,2))</f>
        <v>43</v>
      </c>
      <c r="D3183" t="str">
        <f t="shared" ref="D3183:D3246" si="2623">A3183&amp;","</f>
        <v xml:space="preserve">    "resultPage": 43,</v>
      </c>
    </row>
    <row r="3184" spans="1:4" x14ac:dyDescent="0.55000000000000004">
      <c r="A3184" t="s">
        <v>763</v>
      </c>
      <c r="B3184" t="str">
        <f>VLOOKUP(B3183,Tabelle3!$A$2:$E$33,3,FALSE)</f>
        <v>Retrieving Weapon</v>
      </c>
      <c r="C3184" t="s">
        <v>762</v>
      </c>
      <c r="D3184" t="str">
        <f t="shared" ref="D3184" si="2624">_xlfn.CONCAT(A3184:C3184)</f>
        <v xml:space="preserve">    "message":  "Retrieving Weapon",</v>
      </c>
    </row>
    <row r="3185" spans="1:4" x14ac:dyDescent="0.55000000000000004">
      <c r="A3185" t="s">
        <v>764</v>
      </c>
      <c r="B3185" t="str">
        <f>VLOOKUP(B3183,Tabelle3!$A$2:$E$33,5,FALSE)</f>
        <v>X</v>
      </c>
      <c r="C3185" t="s">
        <v>762</v>
      </c>
      <c r="D3185" t="str">
        <f t="shared" si="2574"/>
        <v xml:space="preserve">    "nextInstruction":  "X",</v>
      </c>
    </row>
    <row r="3186" spans="1:4" x14ac:dyDescent="0.55000000000000004">
      <c r="A3186" t="s">
        <v>765</v>
      </c>
      <c r="B3186" t="str">
        <f>VLOOKUP(B3183,Tabelle3!$A$2:$E$33,4,FALSE)</f>
        <v>""</v>
      </c>
      <c r="D3186" t="str">
        <f t="shared" ref="D3186:D3249" si="2625">IF(ISNUMBER(B3186),(A3186&amp;B3186),"")</f>
        <v/>
      </c>
    </row>
    <row r="3187" spans="1:4" x14ac:dyDescent="0.55000000000000004">
      <c r="A3187" t="s">
        <v>6</v>
      </c>
      <c r="D3187" t="str">
        <f t="shared" ref="D3187:D3250" si="2626">A3187</f>
        <v xml:space="preserve">  },</v>
      </c>
    </row>
    <row r="3188" spans="1:4" x14ac:dyDescent="0.55000000000000004">
      <c r="A3188" t="s">
        <v>541</v>
      </c>
      <c r="D3188" t="str">
        <f t="shared" si="2626"/>
        <v xml:space="preserve">  "46-6": {</v>
      </c>
    </row>
    <row r="3189" spans="1:4" x14ac:dyDescent="0.55000000000000004">
      <c r="A3189" t="s">
        <v>540</v>
      </c>
      <c r="B3189">
        <f t="shared" ref="B3189" si="2627">_xlfn.NUMBERVALUE(RIGHT(A3189,2))</f>
        <v>43</v>
      </c>
      <c r="D3189" t="str">
        <f t="shared" ref="D3189:D3252" si="2628">A3189&amp;","</f>
        <v xml:space="preserve">    "resultPage": 43,</v>
      </c>
    </row>
    <row r="3190" spans="1:4" x14ac:dyDescent="0.55000000000000004">
      <c r="A3190" t="s">
        <v>763</v>
      </c>
      <c r="B3190" t="str">
        <f>VLOOKUP(B3189,Tabelle3!$A$2:$E$33,3,FALSE)</f>
        <v>Retrieving Weapon</v>
      </c>
      <c r="C3190" t="s">
        <v>762</v>
      </c>
      <c r="D3190" t="str">
        <f t="shared" ref="D3190:D3251" si="2629">_xlfn.CONCAT(A3190:C3190)</f>
        <v xml:space="preserve">    "message":  "Retrieving Weapon",</v>
      </c>
    </row>
    <row r="3191" spans="1:4" x14ac:dyDescent="0.55000000000000004">
      <c r="A3191" t="s">
        <v>764</v>
      </c>
      <c r="B3191" t="str">
        <f>VLOOKUP(B3189,Tabelle3!$A$2:$E$33,5,FALSE)</f>
        <v>X</v>
      </c>
      <c r="C3191" t="s">
        <v>762</v>
      </c>
      <c r="D3191" t="str">
        <f t="shared" si="2629"/>
        <v xml:space="preserve">    "nextInstruction":  "X",</v>
      </c>
    </row>
    <row r="3192" spans="1:4" x14ac:dyDescent="0.55000000000000004">
      <c r="A3192" t="s">
        <v>765</v>
      </c>
      <c r="B3192" t="str">
        <f>VLOOKUP(B3189,Tabelle3!$A$2:$E$33,4,FALSE)</f>
        <v>""</v>
      </c>
      <c r="D3192" t="str">
        <f t="shared" ref="D3192:D3255" si="2630">IF(ISNUMBER(B3192),(A3192&amp;B3192),"")</f>
        <v/>
      </c>
    </row>
    <row r="3193" spans="1:4" x14ac:dyDescent="0.55000000000000004">
      <c r="A3193" t="s">
        <v>6</v>
      </c>
      <c r="D3193" t="str">
        <f t="shared" ref="D3193:D3256" si="2631">A3193</f>
        <v xml:space="preserve">  },</v>
      </c>
    </row>
    <row r="3194" spans="1:4" x14ac:dyDescent="0.55000000000000004">
      <c r="A3194" t="s">
        <v>542</v>
      </c>
      <c r="D3194" t="str">
        <f t="shared" si="2631"/>
        <v xml:space="preserve">  "46-8": {</v>
      </c>
    </row>
    <row r="3195" spans="1:4" x14ac:dyDescent="0.55000000000000004">
      <c r="A3195" t="s">
        <v>540</v>
      </c>
      <c r="B3195">
        <f t="shared" ref="B3195" si="2632">_xlfn.NUMBERVALUE(RIGHT(A3195,2))</f>
        <v>43</v>
      </c>
      <c r="D3195" t="str">
        <f t="shared" ref="D3195:D3258" si="2633">A3195&amp;","</f>
        <v xml:space="preserve">    "resultPage": 43,</v>
      </c>
    </row>
    <row r="3196" spans="1:4" x14ac:dyDescent="0.55000000000000004">
      <c r="A3196" t="s">
        <v>763</v>
      </c>
      <c r="B3196" t="str">
        <f>VLOOKUP(B3195,Tabelle3!$A$2:$E$33,3,FALSE)</f>
        <v>Retrieving Weapon</v>
      </c>
      <c r="C3196" t="s">
        <v>762</v>
      </c>
      <c r="D3196" t="str">
        <f t="shared" ref="D3196" si="2634">_xlfn.CONCAT(A3196:C3196)</f>
        <v xml:space="preserve">    "message":  "Retrieving Weapon",</v>
      </c>
    </row>
    <row r="3197" spans="1:4" x14ac:dyDescent="0.55000000000000004">
      <c r="A3197" t="s">
        <v>764</v>
      </c>
      <c r="B3197" t="str">
        <f>VLOOKUP(B3195,Tabelle3!$A$2:$E$33,5,FALSE)</f>
        <v>X</v>
      </c>
      <c r="C3197" t="s">
        <v>762</v>
      </c>
      <c r="D3197" t="str">
        <f t="shared" si="2629"/>
        <v xml:space="preserve">    "nextInstruction":  "X",</v>
      </c>
    </row>
    <row r="3198" spans="1:4" x14ac:dyDescent="0.55000000000000004">
      <c r="A3198" t="s">
        <v>765</v>
      </c>
      <c r="B3198" t="str">
        <f>VLOOKUP(B3195,Tabelle3!$A$2:$E$33,4,FALSE)</f>
        <v>""</v>
      </c>
      <c r="D3198" t="str">
        <f t="shared" ref="D3198:D3261" si="2635">IF(ISNUMBER(B3198),(A3198&amp;B3198),"")</f>
        <v/>
      </c>
    </row>
    <row r="3199" spans="1:4" x14ac:dyDescent="0.55000000000000004">
      <c r="A3199" t="s">
        <v>6</v>
      </c>
      <c r="D3199" t="str">
        <f t="shared" ref="D3199:D3262" si="2636">A3199</f>
        <v xml:space="preserve">  },</v>
      </c>
    </row>
    <row r="3200" spans="1:4" x14ac:dyDescent="0.55000000000000004">
      <c r="A3200" t="s">
        <v>543</v>
      </c>
      <c r="D3200" t="str">
        <f t="shared" si="2636"/>
        <v xml:space="preserve">  "46-10": {</v>
      </c>
    </row>
    <row r="3201" spans="1:4" x14ac:dyDescent="0.55000000000000004">
      <c r="A3201" t="s">
        <v>540</v>
      </c>
      <c r="B3201">
        <f t="shared" ref="B3201" si="2637">_xlfn.NUMBERVALUE(RIGHT(A3201,2))</f>
        <v>43</v>
      </c>
      <c r="D3201" t="str">
        <f t="shared" ref="D3201:D3264" si="2638">A3201&amp;","</f>
        <v xml:space="preserve">    "resultPage": 43,</v>
      </c>
    </row>
    <row r="3202" spans="1:4" x14ac:dyDescent="0.55000000000000004">
      <c r="A3202" t="s">
        <v>763</v>
      </c>
      <c r="B3202" t="str">
        <f>VLOOKUP(B3201,Tabelle3!$A$2:$E$33,3,FALSE)</f>
        <v>Retrieving Weapon</v>
      </c>
      <c r="C3202" t="s">
        <v>762</v>
      </c>
      <c r="D3202" t="str">
        <f t="shared" ref="D3202" si="2639">_xlfn.CONCAT(A3202:C3202)</f>
        <v xml:space="preserve">    "message":  "Retrieving Weapon",</v>
      </c>
    </row>
    <row r="3203" spans="1:4" x14ac:dyDescent="0.55000000000000004">
      <c r="A3203" t="s">
        <v>764</v>
      </c>
      <c r="B3203" t="str">
        <f>VLOOKUP(B3201,Tabelle3!$A$2:$E$33,5,FALSE)</f>
        <v>X</v>
      </c>
      <c r="C3203" t="s">
        <v>762</v>
      </c>
      <c r="D3203" t="str">
        <f t="shared" si="2629"/>
        <v xml:space="preserve">    "nextInstruction":  "X",</v>
      </c>
    </row>
    <row r="3204" spans="1:4" x14ac:dyDescent="0.55000000000000004">
      <c r="A3204" t="s">
        <v>765</v>
      </c>
      <c r="B3204" t="str">
        <f>VLOOKUP(B3201,Tabelle3!$A$2:$E$33,4,FALSE)</f>
        <v>""</v>
      </c>
      <c r="D3204" t="str">
        <f t="shared" ref="D3204:D3267" si="2640">IF(ISNUMBER(B3204),(A3204&amp;B3204),"")</f>
        <v/>
      </c>
    </row>
    <row r="3205" spans="1:4" x14ac:dyDescent="0.55000000000000004">
      <c r="A3205" t="s">
        <v>6</v>
      </c>
      <c r="D3205" t="str">
        <f t="shared" ref="D3205:D3268" si="2641">A3205</f>
        <v xml:space="preserve">  },</v>
      </c>
    </row>
    <row r="3206" spans="1:4" x14ac:dyDescent="0.55000000000000004">
      <c r="A3206" t="s">
        <v>544</v>
      </c>
      <c r="D3206" t="str">
        <f t="shared" si="2641"/>
        <v xml:space="preserve">  "46-12": {</v>
      </c>
    </row>
    <row r="3207" spans="1:4" x14ac:dyDescent="0.55000000000000004">
      <c r="A3207" t="s">
        <v>10</v>
      </c>
      <c r="B3207">
        <f t="shared" ref="B3207" si="2642">_xlfn.NUMBERVALUE(RIGHT(A3207,2))</f>
        <v>31</v>
      </c>
      <c r="D3207" t="str">
        <f t="shared" ref="D3207:D3270" si="2643">A3207&amp;","</f>
        <v xml:space="preserve">    "resultPage": 31,</v>
      </c>
    </row>
    <row r="3208" spans="1:4" x14ac:dyDescent="0.55000000000000004">
      <c r="A3208" t="s">
        <v>763</v>
      </c>
      <c r="B3208" t="str">
        <f>VLOOKUP(B3207,Tabelle3!$A$2:$E$33,3,FALSE)</f>
        <v>Arm Wound</v>
      </c>
      <c r="C3208" t="s">
        <v>762</v>
      </c>
      <c r="D3208" t="str">
        <f t="shared" ref="D3208" si="2644">_xlfn.CONCAT(A3208:C3208)</f>
        <v xml:space="preserve">    "message":  "Arm Wound",</v>
      </c>
    </row>
    <row r="3209" spans="1:4" x14ac:dyDescent="0.55000000000000004">
      <c r="A3209" t="s">
        <v>764</v>
      </c>
      <c r="B3209" t="str">
        <f>VLOOKUP(B3207,Tabelle3!$A$2:$E$33,5,FALSE)</f>
        <v>No Orange</v>
      </c>
      <c r="C3209" t="s">
        <v>762</v>
      </c>
      <c r="D3209" t="str">
        <f t="shared" si="2629"/>
        <v xml:space="preserve">    "nextInstruction":  "No Orange",</v>
      </c>
    </row>
    <row r="3210" spans="1:4" x14ac:dyDescent="0.55000000000000004">
      <c r="A3210" t="s">
        <v>765</v>
      </c>
      <c r="B3210">
        <f>VLOOKUP(B3207,Tabelle3!$A$2:$E$33,4,FALSE)</f>
        <v>3</v>
      </c>
      <c r="D3210" t="str">
        <f t="shared" ref="D3210:D3273" si="2645">IF(ISNUMBER(B3210),(A3210&amp;B3210),"")</f>
        <v xml:space="preserve">    "damageModifier": 3</v>
      </c>
    </row>
    <row r="3211" spans="1:4" x14ac:dyDescent="0.55000000000000004">
      <c r="A3211" t="s">
        <v>6</v>
      </c>
      <c r="D3211" t="str">
        <f t="shared" ref="D3211:D3274" si="2646">A3211</f>
        <v xml:space="preserve">  },</v>
      </c>
    </row>
    <row r="3212" spans="1:4" x14ac:dyDescent="0.55000000000000004">
      <c r="A3212" t="s">
        <v>545</v>
      </c>
      <c r="D3212" t="str">
        <f t="shared" si="2646"/>
        <v xml:space="preserve">  "46-14": {</v>
      </c>
    </row>
    <row r="3213" spans="1:4" x14ac:dyDescent="0.55000000000000004">
      <c r="A3213" t="s">
        <v>540</v>
      </c>
      <c r="B3213">
        <f t="shared" ref="B3213" si="2647">_xlfn.NUMBERVALUE(RIGHT(A3213,2))</f>
        <v>43</v>
      </c>
      <c r="D3213" t="str">
        <f t="shared" ref="D3213:D3276" si="2648">A3213&amp;","</f>
        <v xml:space="preserve">    "resultPage": 43,</v>
      </c>
    </row>
    <row r="3214" spans="1:4" x14ac:dyDescent="0.55000000000000004">
      <c r="A3214" t="s">
        <v>763</v>
      </c>
      <c r="B3214" t="str">
        <f>VLOOKUP(B3213,Tabelle3!$A$2:$E$33,3,FALSE)</f>
        <v>Retrieving Weapon</v>
      </c>
      <c r="C3214" t="s">
        <v>762</v>
      </c>
      <c r="D3214" t="str">
        <f t="shared" ref="D3214" si="2649">_xlfn.CONCAT(A3214:C3214)</f>
        <v xml:space="preserve">    "message":  "Retrieving Weapon",</v>
      </c>
    </row>
    <row r="3215" spans="1:4" x14ac:dyDescent="0.55000000000000004">
      <c r="A3215" t="s">
        <v>764</v>
      </c>
      <c r="B3215" t="str">
        <f>VLOOKUP(B3213,Tabelle3!$A$2:$E$33,5,FALSE)</f>
        <v>X</v>
      </c>
      <c r="C3215" t="s">
        <v>762</v>
      </c>
      <c r="D3215" t="str">
        <f t="shared" si="2629"/>
        <v xml:space="preserve">    "nextInstruction":  "X",</v>
      </c>
    </row>
    <row r="3216" spans="1:4" x14ac:dyDescent="0.55000000000000004">
      <c r="A3216" t="s">
        <v>765</v>
      </c>
      <c r="B3216" t="str">
        <f>VLOOKUP(B3213,Tabelle3!$A$2:$E$33,4,FALSE)</f>
        <v>""</v>
      </c>
      <c r="D3216" t="str">
        <f t="shared" ref="D3216:D3279" si="2650">IF(ISNUMBER(B3216),(A3216&amp;B3216),"")</f>
        <v/>
      </c>
    </row>
    <row r="3217" spans="1:4" x14ac:dyDescent="0.55000000000000004">
      <c r="A3217" t="s">
        <v>6</v>
      </c>
      <c r="D3217" t="str">
        <f t="shared" ref="D3217:D3280" si="2651">A3217</f>
        <v xml:space="preserve">  },</v>
      </c>
    </row>
    <row r="3218" spans="1:4" x14ac:dyDescent="0.55000000000000004">
      <c r="A3218" t="s">
        <v>546</v>
      </c>
      <c r="D3218" t="str">
        <f t="shared" si="2651"/>
        <v xml:space="preserve">  "46-16": {</v>
      </c>
    </row>
    <row r="3219" spans="1:4" x14ac:dyDescent="0.55000000000000004">
      <c r="A3219" t="s">
        <v>540</v>
      </c>
      <c r="B3219">
        <f t="shared" ref="B3219" si="2652">_xlfn.NUMBERVALUE(RIGHT(A3219,2))</f>
        <v>43</v>
      </c>
      <c r="D3219" t="str">
        <f t="shared" ref="D3219:D3282" si="2653">A3219&amp;","</f>
        <v xml:space="preserve">    "resultPage": 43,</v>
      </c>
    </row>
    <row r="3220" spans="1:4" x14ac:dyDescent="0.55000000000000004">
      <c r="A3220" t="s">
        <v>763</v>
      </c>
      <c r="B3220" t="str">
        <f>VLOOKUP(B3219,Tabelle3!$A$2:$E$33,3,FALSE)</f>
        <v>Retrieving Weapon</v>
      </c>
      <c r="C3220" t="s">
        <v>762</v>
      </c>
      <c r="D3220" t="str">
        <f t="shared" ref="D3220" si="2654">_xlfn.CONCAT(A3220:C3220)</f>
        <v xml:space="preserve">    "message":  "Retrieving Weapon",</v>
      </c>
    </row>
    <row r="3221" spans="1:4" x14ac:dyDescent="0.55000000000000004">
      <c r="A3221" t="s">
        <v>764</v>
      </c>
      <c r="B3221" t="str">
        <f>VLOOKUP(B3219,Tabelle3!$A$2:$E$33,5,FALSE)</f>
        <v>X</v>
      </c>
      <c r="C3221" t="s">
        <v>762</v>
      </c>
      <c r="D3221" t="str">
        <f t="shared" si="2629"/>
        <v xml:space="preserve">    "nextInstruction":  "X",</v>
      </c>
    </row>
    <row r="3222" spans="1:4" x14ac:dyDescent="0.55000000000000004">
      <c r="A3222" t="s">
        <v>765</v>
      </c>
      <c r="B3222" t="str">
        <f>VLOOKUP(B3219,Tabelle3!$A$2:$E$33,4,FALSE)</f>
        <v>""</v>
      </c>
      <c r="D3222" t="str">
        <f t="shared" ref="D3222:D3285" si="2655">IF(ISNUMBER(B3222),(A3222&amp;B3222),"")</f>
        <v/>
      </c>
    </row>
    <row r="3223" spans="1:4" x14ac:dyDescent="0.55000000000000004">
      <c r="A3223" t="s">
        <v>6</v>
      </c>
      <c r="D3223" t="str">
        <f t="shared" ref="D3223:D3286" si="2656">A3223</f>
        <v xml:space="preserve">  },</v>
      </c>
    </row>
    <row r="3224" spans="1:4" x14ac:dyDescent="0.55000000000000004">
      <c r="A3224" t="s">
        <v>547</v>
      </c>
      <c r="D3224" t="str">
        <f t="shared" si="2656"/>
        <v xml:space="preserve">  "46-18": {</v>
      </c>
    </row>
    <row r="3225" spans="1:4" x14ac:dyDescent="0.55000000000000004">
      <c r="A3225" t="s">
        <v>540</v>
      </c>
      <c r="B3225">
        <f t="shared" ref="B3225" si="2657">_xlfn.NUMBERVALUE(RIGHT(A3225,2))</f>
        <v>43</v>
      </c>
      <c r="D3225" t="str">
        <f t="shared" ref="D3225:D3288" si="2658">A3225&amp;","</f>
        <v xml:space="preserve">    "resultPage": 43,</v>
      </c>
    </row>
    <row r="3226" spans="1:4" x14ac:dyDescent="0.55000000000000004">
      <c r="A3226" t="s">
        <v>763</v>
      </c>
      <c r="B3226" t="str">
        <f>VLOOKUP(B3225,Tabelle3!$A$2:$E$33,3,FALSE)</f>
        <v>Retrieving Weapon</v>
      </c>
      <c r="C3226" t="s">
        <v>762</v>
      </c>
      <c r="D3226" t="str">
        <f t="shared" ref="D3226" si="2659">_xlfn.CONCAT(A3226:C3226)</f>
        <v xml:space="preserve">    "message":  "Retrieving Weapon",</v>
      </c>
    </row>
    <row r="3227" spans="1:4" x14ac:dyDescent="0.55000000000000004">
      <c r="A3227" t="s">
        <v>764</v>
      </c>
      <c r="B3227" t="str">
        <f>VLOOKUP(B3225,Tabelle3!$A$2:$E$33,5,FALSE)</f>
        <v>X</v>
      </c>
      <c r="C3227" t="s">
        <v>762</v>
      </c>
      <c r="D3227" t="str">
        <f t="shared" si="2629"/>
        <v xml:space="preserve">    "nextInstruction":  "X",</v>
      </c>
    </row>
    <row r="3228" spans="1:4" x14ac:dyDescent="0.55000000000000004">
      <c r="A3228" t="s">
        <v>765</v>
      </c>
      <c r="B3228" t="str">
        <f>VLOOKUP(B3225,Tabelle3!$A$2:$E$33,4,FALSE)</f>
        <v>""</v>
      </c>
      <c r="D3228" t="str">
        <f t="shared" ref="D3228:D3291" si="2660">IF(ISNUMBER(B3228),(A3228&amp;B3228),"")</f>
        <v/>
      </c>
    </row>
    <row r="3229" spans="1:4" x14ac:dyDescent="0.55000000000000004">
      <c r="A3229" t="s">
        <v>6</v>
      </c>
      <c r="D3229" t="str">
        <f t="shared" ref="D3229:D3292" si="2661">A3229</f>
        <v xml:space="preserve">  },</v>
      </c>
    </row>
    <row r="3230" spans="1:4" x14ac:dyDescent="0.55000000000000004">
      <c r="A3230" t="s">
        <v>548</v>
      </c>
      <c r="D3230" t="str">
        <f t="shared" si="2661"/>
        <v xml:space="preserve">  "46-20": {</v>
      </c>
    </row>
    <row r="3231" spans="1:4" x14ac:dyDescent="0.55000000000000004">
      <c r="A3231" t="s">
        <v>540</v>
      </c>
      <c r="B3231">
        <f t="shared" ref="B3231" si="2662">_xlfn.NUMBERVALUE(RIGHT(A3231,2))</f>
        <v>43</v>
      </c>
      <c r="D3231" t="str">
        <f t="shared" ref="D3231:D3294" si="2663">A3231&amp;","</f>
        <v xml:space="preserve">    "resultPage": 43,</v>
      </c>
    </row>
    <row r="3232" spans="1:4" x14ac:dyDescent="0.55000000000000004">
      <c r="A3232" t="s">
        <v>763</v>
      </c>
      <c r="B3232" t="str">
        <f>VLOOKUP(B3231,Tabelle3!$A$2:$E$33,3,FALSE)</f>
        <v>Retrieving Weapon</v>
      </c>
      <c r="C3232" t="s">
        <v>762</v>
      </c>
      <c r="D3232" t="str">
        <f t="shared" ref="D3232" si="2664">_xlfn.CONCAT(A3232:C3232)</f>
        <v xml:space="preserve">    "message":  "Retrieving Weapon",</v>
      </c>
    </row>
    <row r="3233" spans="1:4" x14ac:dyDescent="0.55000000000000004">
      <c r="A3233" t="s">
        <v>764</v>
      </c>
      <c r="B3233" t="str">
        <f>VLOOKUP(B3231,Tabelle3!$A$2:$E$33,5,FALSE)</f>
        <v>X</v>
      </c>
      <c r="C3233" t="s">
        <v>762</v>
      </c>
      <c r="D3233" t="str">
        <f t="shared" si="2629"/>
        <v xml:space="preserve">    "nextInstruction":  "X",</v>
      </c>
    </row>
    <row r="3234" spans="1:4" x14ac:dyDescent="0.55000000000000004">
      <c r="A3234" t="s">
        <v>765</v>
      </c>
      <c r="B3234" t="str">
        <f>VLOOKUP(B3231,Tabelle3!$A$2:$E$33,4,FALSE)</f>
        <v>""</v>
      </c>
      <c r="D3234" t="str">
        <f t="shared" ref="D3234:D3297" si="2665">IF(ISNUMBER(B3234),(A3234&amp;B3234),"")</f>
        <v/>
      </c>
    </row>
    <row r="3235" spans="1:4" x14ac:dyDescent="0.55000000000000004">
      <c r="A3235" t="s">
        <v>6</v>
      </c>
      <c r="D3235" t="str">
        <f t="shared" ref="D3235:D3298" si="2666">A3235</f>
        <v xml:space="preserve">  },</v>
      </c>
    </row>
    <row r="3236" spans="1:4" x14ac:dyDescent="0.55000000000000004">
      <c r="A3236" t="s">
        <v>549</v>
      </c>
      <c r="D3236" t="str">
        <f t="shared" si="2666"/>
        <v xml:space="preserve">  "46-22": {</v>
      </c>
    </row>
    <row r="3237" spans="1:4" x14ac:dyDescent="0.55000000000000004">
      <c r="A3237" t="s">
        <v>540</v>
      </c>
      <c r="B3237">
        <f t="shared" ref="B3237" si="2667">_xlfn.NUMBERVALUE(RIGHT(A3237,2))</f>
        <v>43</v>
      </c>
      <c r="D3237" t="str">
        <f t="shared" ref="D3237:D3300" si="2668">A3237&amp;","</f>
        <v xml:space="preserve">    "resultPage": 43,</v>
      </c>
    </row>
    <row r="3238" spans="1:4" x14ac:dyDescent="0.55000000000000004">
      <c r="A3238" t="s">
        <v>763</v>
      </c>
      <c r="B3238" t="str">
        <f>VLOOKUP(B3237,Tabelle3!$A$2:$E$33,3,FALSE)</f>
        <v>Retrieving Weapon</v>
      </c>
      <c r="C3238" t="s">
        <v>762</v>
      </c>
      <c r="D3238" t="str">
        <f t="shared" ref="D3238" si="2669">_xlfn.CONCAT(A3238:C3238)</f>
        <v xml:space="preserve">    "message":  "Retrieving Weapon",</v>
      </c>
    </row>
    <row r="3239" spans="1:4" x14ac:dyDescent="0.55000000000000004">
      <c r="A3239" t="s">
        <v>764</v>
      </c>
      <c r="B3239" t="str">
        <f>VLOOKUP(B3237,Tabelle3!$A$2:$E$33,5,FALSE)</f>
        <v>X</v>
      </c>
      <c r="C3239" t="s">
        <v>762</v>
      </c>
      <c r="D3239" t="str">
        <f t="shared" si="2629"/>
        <v xml:space="preserve">    "nextInstruction":  "X",</v>
      </c>
    </row>
    <row r="3240" spans="1:4" x14ac:dyDescent="0.55000000000000004">
      <c r="A3240" t="s">
        <v>765</v>
      </c>
      <c r="B3240" t="str">
        <f>VLOOKUP(B3237,Tabelle3!$A$2:$E$33,4,FALSE)</f>
        <v>""</v>
      </c>
      <c r="D3240" t="str">
        <f t="shared" ref="D3240:D3303" si="2670">IF(ISNUMBER(B3240),(A3240&amp;B3240),"")</f>
        <v/>
      </c>
    </row>
    <row r="3241" spans="1:4" x14ac:dyDescent="0.55000000000000004">
      <c r="A3241" t="s">
        <v>6</v>
      </c>
      <c r="D3241" t="str">
        <f t="shared" ref="D3241:D3304" si="2671">A3241</f>
        <v xml:space="preserve">  },</v>
      </c>
    </row>
    <row r="3242" spans="1:4" x14ac:dyDescent="0.55000000000000004">
      <c r="A3242" t="s">
        <v>550</v>
      </c>
      <c r="D3242" t="str">
        <f t="shared" si="2671"/>
        <v xml:space="preserve">  "46-24": {</v>
      </c>
    </row>
    <row r="3243" spans="1:4" x14ac:dyDescent="0.55000000000000004">
      <c r="A3243" t="s">
        <v>47</v>
      </c>
      <c r="B3243">
        <f t="shared" ref="B3243" si="2672">_xlfn.NUMBERVALUE(RIGHT(A3243,2))</f>
        <v>41</v>
      </c>
      <c r="D3243" t="str">
        <f t="shared" ref="D3243:D3306" si="2673">A3243&amp;","</f>
        <v xml:space="preserve">    "resultPage": 41,</v>
      </c>
    </row>
    <row r="3244" spans="1:4" x14ac:dyDescent="0.55000000000000004">
      <c r="A3244" t="s">
        <v>763</v>
      </c>
      <c r="B3244" t="str">
        <f>VLOOKUP(B3243,Tabelle3!$A$2:$E$33,3,FALSE)</f>
        <v>Knocked Down</v>
      </c>
      <c r="C3244" t="s">
        <v>762</v>
      </c>
      <c r="D3244" t="str">
        <f t="shared" ref="D3244" si="2674">_xlfn.CONCAT(A3244:C3244)</f>
        <v xml:space="preserve">    "message":  "Knocked Down",</v>
      </c>
    </row>
    <row r="3245" spans="1:4" x14ac:dyDescent="0.55000000000000004">
      <c r="A3245" t="s">
        <v>764</v>
      </c>
      <c r="B3245" t="str">
        <f>VLOOKUP(B3243,Tabelle3!$A$2:$E$33,5,FALSE)</f>
        <v>Only Yellow No Orange</v>
      </c>
      <c r="C3245" t="s">
        <v>762</v>
      </c>
      <c r="D3245" t="str">
        <f t="shared" si="2629"/>
        <v xml:space="preserve">    "nextInstruction":  "Only Yellow No Orange",</v>
      </c>
    </row>
    <row r="3246" spans="1:4" x14ac:dyDescent="0.55000000000000004">
      <c r="A3246" t="s">
        <v>765</v>
      </c>
      <c r="B3246">
        <f>VLOOKUP(B3243,Tabelle3!$A$2:$E$33,4,FALSE)</f>
        <v>0</v>
      </c>
      <c r="D3246" t="str">
        <f t="shared" ref="D3246:D3309" si="2675">IF(ISNUMBER(B3246),(A3246&amp;B3246),"")</f>
        <v xml:space="preserve">    "damageModifier": 0</v>
      </c>
    </row>
    <row r="3247" spans="1:4" x14ac:dyDescent="0.55000000000000004">
      <c r="A3247" t="s">
        <v>6</v>
      </c>
      <c r="D3247" t="str">
        <f t="shared" ref="D3247:D3310" si="2676">A3247</f>
        <v xml:space="preserve">  },</v>
      </c>
    </row>
    <row r="3248" spans="1:4" x14ac:dyDescent="0.55000000000000004">
      <c r="A3248" t="s">
        <v>551</v>
      </c>
      <c r="D3248" t="str">
        <f t="shared" si="2676"/>
        <v xml:space="preserve">  "46-26": {</v>
      </c>
    </row>
    <row r="3249" spans="1:4" x14ac:dyDescent="0.55000000000000004">
      <c r="A3249" t="s">
        <v>540</v>
      </c>
      <c r="B3249">
        <f t="shared" ref="B3249" si="2677">_xlfn.NUMBERVALUE(RIGHT(A3249,2))</f>
        <v>43</v>
      </c>
      <c r="D3249" t="str">
        <f t="shared" ref="D3249:D3312" si="2678">A3249&amp;","</f>
        <v xml:space="preserve">    "resultPage": 43,</v>
      </c>
    </row>
    <row r="3250" spans="1:4" x14ac:dyDescent="0.55000000000000004">
      <c r="A3250" t="s">
        <v>763</v>
      </c>
      <c r="B3250" t="str">
        <f>VLOOKUP(B3249,Tabelle3!$A$2:$E$33,3,FALSE)</f>
        <v>Retrieving Weapon</v>
      </c>
      <c r="C3250" t="s">
        <v>762</v>
      </c>
      <c r="D3250" t="str">
        <f t="shared" ref="D3250" si="2679">_xlfn.CONCAT(A3250:C3250)</f>
        <v xml:space="preserve">    "message":  "Retrieving Weapon",</v>
      </c>
    </row>
    <row r="3251" spans="1:4" x14ac:dyDescent="0.55000000000000004">
      <c r="A3251" t="s">
        <v>764</v>
      </c>
      <c r="B3251" t="str">
        <f>VLOOKUP(B3249,Tabelle3!$A$2:$E$33,5,FALSE)</f>
        <v>X</v>
      </c>
      <c r="C3251" t="s">
        <v>762</v>
      </c>
      <c r="D3251" t="str">
        <f t="shared" si="2629"/>
        <v xml:space="preserve">    "nextInstruction":  "X",</v>
      </c>
    </row>
    <row r="3252" spans="1:4" x14ac:dyDescent="0.55000000000000004">
      <c r="A3252" t="s">
        <v>765</v>
      </c>
      <c r="B3252" t="str">
        <f>VLOOKUP(B3249,Tabelle3!$A$2:$E$33,4,FALSE)</f>
        <v>""</v>
      </c>
      <c r="D3252" t="str">
        <f t="shared" ref="D3252:D3315" si="2680">IF(ISNUMBER(B3252),(A3252&amp;B3252),"")</f>
        <v/>
      </c>
    </row>
    <row r="3253" spans="1:4" x14ac:dyDescent="0.55000000000000004">
      <c r="A3253" t="s">
        <v>6</v>
      </c>
      <c r="D3253" t="str">
        <f t="shared" ref="D3253:D3316" si="2681">A3253</f>
        <v xml:space="preserve">  },</v>
      </c>
    </row>
    <row r="3254" spans="1:4" x14ac:dyDescent="0.55000000000000004">
      <c r="A3254" t="s">
        <v>552</v>
      </c>
      <c r="D3254" t="str">
        <f t="shared" si="2681"/>
        <v xml:space="preserve">  "46-28": {</v>
      </c>
    </row>
    <row r="3255" spans="1:4" x14ac:dyDescent="0.55000000000000004">
      <c r="A3255" t="s">
        <v>10</v>
      </c>
      <c r="B3255">
        <f t="shared" ref="B3255" si="2682">_xlfn.NUMBERVALUE(RIGHT(A3255,2))</f>
        <v>31</v>
      </c>
      <c r="D3255" t="str">
        <f t="shared" ref="D3255:D3318" si="2683">A3255&amp;","</f>
        <v xml:space="preserve">    "resultPage": 31,</v>
      </c>
    </row>
    <row r="3256" spans="1:4" x14ac:dyDescent="0.55000000000000004">
      <c r="A3256" t="s">
        <v>763</v>
      </c>
      <c r="B3256" t="str">
        <f>VLOOKUP(B3255,Tabelle3!$A$2:$E$33,3,FALSE)</f>
        <v>Arm Wound</v>
      </c>
      <c r="C3256" t="s">
        <v>762</v>
      </c>
      <c r="D3256" t="str">
        <f t="shared" ref="D3256:D3317" si="2684">_xlfn.CONCAT(A3256:C3256)</f>
        <v xml:space="preserve">    "message":  "Arm Wound",</v>
      </c>
    </row>
    <row r="3257" spans="1:4" x14ac:dyDescent="0.55000000000000004">
      <c r="A3257" t="s">
        <v>764</v>
      </c>
      <c r="B3257" t="str">
        <f>VLOOKUP(B3255,Tabelle3!$A$2:$E$33,5,FALSE)</f>
        <v>No Orange</v>
      </c>
      <c r="C3257" t="s">
        <v>762</v>
      </c>
      <c r="D3257" t="str">
        <f t="shared" si="2684"/>
        <v xml:space="preserve">    "nextInstruction":  "No Orange",</v>
      </c>
    </row>
    <row r="3258" spans="1:4" x14ac:dyDescent="0.55000000000000004">
      <c r="A3258" t="s">
        <v>765</v>
      </c>
      <c r="B3258">
        <f>VLOOKUP(B3255,Tabelle3!$A$2:$E$33,4,FALSE)</f>
        <v>3</v>
      </c>
      <c r="D3258" t="str">
        <f t="shared" ref="D3258:D3321" si="2685">IF(ISNUMBER(B3258),(A3258&amp;B3258),"")</f>
        <v xml:space="preserve">    "damageModifier": 3</v>
      </c>
    </row>
    <row r="3259" spans="1:4" x14ac:dyDescent="0.55000000000000004">
      <c r="A3259" t="s">
        <v>6</v>
      </c>
      <c r="D3259" t="str">
        <f t="shared" ref="D3259:D3322" si="2686">A3259</f>
        <v xml:space="preserve">  },</v>
      </c>
    </row>
    <row r="3260" spans="1:4" x14ac:dyDescent="0.55000000000000004">
      <c r="A3260" t="s">
        <v>553</v>
      </c>
      <c r="D3260" t="str">
        <f t="shared" si="2686"/>
        <v xml:space="preserve">  "46-30": {</v>
      </c>
    </row>
    <row r="3261" spans="1:4" x14ac:dyDescent="0.55000000000000004">
      <c r="A3261" t="s">
        <v>274</v>
      </c>
      <c r="B3261">
        <f t="shared" ref="B3261" si="2687">_xlfn.NUMBERVALUE(RIGHT(A3261,2))</f>
        <v>27</v>
      </c>
      <c r="D3261" t="str">
        <f t="shared" ref="D3261:D3324" si="2688">A3261&amp;","</f>
        <v xml:space="preserve">    "resultPage": 27,</v>
      </c>
    </row>
    <row r="3262" spans="1:4" x14ac:dyDescent="0.55000000000000004">
      <c r="A3262" t="s">
        <v>763</v>
      </c>
      <c r="B3262" t="str">
        <f>VLOOKUP(B3261,Tabelle3!$A$2:$E$33,3,FALSE)</f>
        <v>Weapon Dislodged</v>
      </c>
      <c r="C3262" t="s">
        <v>762</v>
      </c>
      <c r="D3262" t="str">
        <f t="shared" ref="D3262" si="2689">_xlfn.CONCAT(A3262:C3262)</f>
        <v xml:space="preserve">    "message":  "Weapon Dislodged",</v>
      </c>
    </row>
    <row r="3263" spans="1:4" x14ac:dyDescent="0.55000000000000004">
      <c r="A3263" t="s">
        <v>764</v>
      </c>
      <c r="B3263" t="str">
        <f>VLOOKUP(B3261,Tabelle3!$A$2:$E$33,5,FALSE)</f>
        <v>Only Green Only Yellow Only Kicks Except Wildswings Until Weapon has been retrieved</v>
      </c>
      <c r="C3263" t="s">
        <v>762</v>
      </c>
      <c r="D3263" t="str">
        <f t="shared" si="2684"/>
        <v xml:space="preserve">    "nextInstruction":  "Only Green Only Yellow Only Kicks Except Wildswings Until Weapon has been retrieved",</v>
      </c>
    </row>
    <row r="3264" spans="1:4" x14ac:dyDescent="0.55000000000000004">
      <c r="A3264" t="s">
        <v>765</v>
      </c>
      <c r="B3264" t="str">
        <f>VLOOKUP(B3261,Tabelle3!$A$2:$E$33,4,FALSE)</f>
        <v>""</v>
      </c>
      <c r="D3264" t="str">
        <f t="shared" ref="D3264:D3327" si="2690">IF(ISNUMBER(B3264),(A3264&amp;B3264),"")</f>
        <v/>
      </c>
    </row>
    <row r="3265" spans="1:4" x14ac:dyDescent="0.55000000000000004">
      <c r="A3265" t="s">
        <v>6</v>
      </c>
      <c r="D3265" t="str">
        <f t="shared" ref="D3265:D3328" si="2691">A3265</f>
        <v xml:space="preserve">  },</v>
      </c>
    </row>
    <row r="3266" spans="1:4" x14ac:dyDescent="0.55000000000000004">
      <c r="A3266" t="s">
        <v>554</v>
      </c>
      <c r="D3266" t="str">
        <f t="shared" si="2691"/>
        <v xml:space="preserve">  "46-32": {</v>
      </c>
    </row>
    <row r="3267" spans="1:4" x14ac:dyDescent="0.55000000000000004">
      <c r="A3267" t="s">
        <v>540</v>
      </c>
      <c r="B3267">
        <f t="shared" ref="B3267" si="2692">_xlfn.NUMBERVALUE(RIGHT(A3267,2))</f>
        <v>43</v>
      </c>
      <c r="D3267" t="str">
        <f t="shared" ref="D3267:D3330" si="2693">A3267&amp;","</f>
        <v xml:space="preserve">    "resultPage": 43,</v>
      </c>
    </row>
    <row r="3268" spans="1:4" x14ac:dyDescent="0.55000000000000004">
      <c r="A3268" t="s">
        <v>763</v>
      </c>
      <c r="B3268" t="str">
        <f>VLOOKUP(B3267,Tabelle3!$A$2:$E$33,3,FALSE)</f>
        <v>Retrieving Weapon</v>
      </c>
      <c r="C3268" t="s">
        <v>762</v>
      </c>
      <c r="D3268" t="str">
        <f t="shared" ref="D3268" si="2694">_xlfn.CONCAT(A3268:C3268)</f>
        <v xml:space="preserve">    "message":  "Retrieving Weapon",</v>
      </c>
    </row>
    <row r="3269" spans="1:4" x14ac:dyDescent="0.55000000000000004">
      <c r="A3269" t="s">
        <v>764</v>
      </c>
      <c r="B3269" t="str">
        <f>VLOOKUP(B3267,Tabelle3!$A$2:$E$33,5,FALSE)</f>
        <v>X</v>
      </c>
      <c r="C3269" t="s">
        <v>762</v>
      </c>
      <c r="D3269" t="str">
        <f t="shared" si="2684"/>
        <v xml:space="preserve">    "nextInstruction":  "X",</v>
      </c>
    </row>
    <row r="3270" spans="1:4" x14ac:dyDescent="0.55000000000000004">
      <c r="A3270" t="s">
        <v>765</v>
      </c>
      <c r="B3270" t="str">
        <f>VLOOKUP(B3267,Tabelle3!$A$2:$E$33,4,FALSE)</f>
        <v>""</v>
      </c>
      <c r="D3270" t="str">
        <f t="shared" ref="D3270:D3333" si="2695">IF(ISNUMBER(B3270),(A3270&amp;B3270),"")</f>
        <v/>
      </c>
    </row>
    <row r="3271" spans="1:4" x14ac:dyDescent="0.55000000000000004">
      <c r="A3271" t="s">
        <v>6</v>
      </c>
      <c r="D3271" t="str">
        <f t="shared" ref="D3271:D3334" si="2696">A3271</f>
        <v xml:space="preserve">  },</v>
      </c>
    </row>
    <row r="3272" spans="1:4" x14ac:dyDescent="0.55000000000000004">
      <c r="A3272" t="s">
        <v>555</v>
      </c>
      <c r="D3272" t="str">
        <f t="shared" si="2696"/>
        <v xml:space="preserve">  "46-34": {</v>
      </c>
    </row>
    <row r="3273" spans="1:4" x14ac:dyDescent="0.55000000000000004">
      <c r="A3273" t="s">
        <v>274</v>
      </c>
      <c r="B3273">
        <f t="shared" ref="B3273" si="2697">_xlfn.NUMBERVALUE(RIGHT(A3273,2))</f>
        <v>27</v>
      </c>
      <c r="D3273" t="str">
        <f t="shared" ref="D3273:D3336" si="2698">A3273&amp;","</f>
        <v xml:space="preserve">    "resultPage": 27,</v>
      </c>
    </row>
    <row r="3274" spans="1:4" x14ac:dyDescent="0.55000000000000004">
      <c r="A3274" t="s">
        <v>763</v>
      </c>
      <c r="B3274" t="str">
        <f>VLOOKUP(B3273,Tabelle3!$A$2:$E$33,3,FALSE)</f>
        <v>Weapon Dislodged</v>
      </c>
      <c r="C3274" t="s">
        <v>762</v>
      </c>
      <c r="D3274" t="str">
        <f t="shared" ref="D3274" si="2699">_xlfn.CONCAT(A3274:C3274)</f>
        <v xml:space="preserve">    "message":  "Weapon Dislodged",</v>
      </c>
    </row>
    <row r="3275" spans="1:4" x14ac:dyDescent="0.55000000000000004">
      <c r="A3275" t="s">
        <v>764</v>
      </c>
      <c r="B3275" t="str">
        <f>VLOOKUP(B3273,Tabelle3!$A$2:$E$33,5,FALSE)</f>
        <v>Only Green Only Yellow Only Kicks Except Wildswings Until Weapon has been retrieved</v>
      </c>
      <c r="C3275" t="s">
        <v>762</v>
      </c>
      <c r="D3275" t="str">
        <f t="shared" si="2684"/>
        <v xml:space="preserve">    "nextInstruction":  "Only Green Only Yellow Only Kicks Except Wildswings Until Weapon has been retrieved",</v>
      </c>
    </row>
    <row r="3276" spans="1:4" x14ac:dyDescent="0.55000000000000004">
      <c r="A3276" t="s">
        <v>765</v>
      </c>
      <c r="B3276" t="str">
        <f>VLOOKUP(B3273,Tabelle3!$A$2:$E$33,4,FALSE)</f>
        <v>""</v>
      </c>
      <c r="D3276" t="str">
        <f t="shared" ref="D3276:D3339" si="2700">IF(ISNUMBER(B3276),(A3276&amp;B3276),"")</f>
        <v/>
      </c>
    </row>
    <row r="3277" spans="1:4" x14ac:dyDescent="0.55000000000000004">
      <c r="A3277" t="s">
        <v>6</v>
      </c>
      <c r="D3277" t="str">
        <f t="shared" ref="D3277:D3340" si="2701">A3277</f>
        <v xml:space="preserve">  },</v>
      </c>
    </row>
    <row r="3278" spans="1:4" x14ac:dyDescent="0.55000000000000004">
      <c r="A3278" t="s">
        <v>556</v>
      </c>
      <c r="D3278" t="str">
        <f t="shared" si="2701"/>
        <v xml:space="preserve">  "46-36": {</v>
      </c>
    </row>
    <row r="3279" spans="1:4" x14ac:dyDescent="0.55000000000000004">
      <c r="A3279" t="s">
        <v>23</v>
      </c>
      <c r="B3279">
        <f t="shared" ref="B3279" si="2702">_xlfn.NUMBERVALUE(RIGHT(A3279,2))</f>
        <v>7</v>
      </c>
      <c r="D3279" t="str">
        <f t="shared" ref="D3279:D3342" si="2703">A3279&amp;","</f>
        <v xml:space="preserve">    "resultPage": 7,</v>
      </c>
    </row>
    <row r="3280" spans="1:4" x14ac:dyDescent="0.55000000000000004">
      <c r="A3280" t="s">
        <v>763</v>
      </c>
      <c r="B3280" t="str">
        <f>VLOOKUP(B3279,Tabelle3!$A$2:$E$33,3,FALSE)</f>
        <v>Dazed</v>
      </c>
      <c r="C3280" t="s">
        <v>762</v>
      </c>
      <c r="D3280" t="str">
        <f t="shared" ref="D3280" si="2704">_xlfn.CONCAT(A3280:C3280)</f>
        <v xml:space="preserve">    "message":  "Dazed",</v>
      </c>
    </row>
    <row r="3281" spans="1:4" x14ac:dyDescent="0.55000000000000004">
      <c r="A3281" t="s">
        <v>764</v>
      </c>
      <c r="B3281" t="str">
        <f>VLOOKUP(B3279,Tabelle3!$A$2:$E$33,5,FALSE)</f>
        <v>Only Green Only Yellow</v>
      </c>
      <c r="C3281" t="s">
        <v>762</v>
      </c>
      <c r="D3281" t="str">
        <f t="shared" si="2684"/>
        <v xml:space="preserve">    "nextInstruction":  "Only Green Only Yellow",</v>
      </c>
    </row>
    <row r="3282" spans="1:4" x14ac:dyDescent="0.55000000000000004">
      <c r="A3282" t="s">
        <v>765</v>
      </c>
      <c r="B3282">
        <f>VLOOKUP(B3279,Tabelle3!$A$2:$E$33,4,FALSE)</f>
        <v>7</v>
      </c>
      <c r="D3282" t="str">
        <f t="shared" ref="D3282:D3345" si="2705">IF(ISNUMBER(B3282),(A3282&amp;B3282),"")</f>
        <v xml:space="preserve">    "damageModifier": 7</v>
      </c>
    </row>
    <row r="3283" spans="1:4" x14ac:dyDescent="0.55000000000000004">
      <c r="A3283" t="s">
        <v>6</v>
      </c>
      <c r="D3283" t="str">
        <f t="shared" ref="D3283:D3346" si="2706">A3283</f>
        <v xml:space="preserve">  },</v>
      </c>
    </row>
    <row r="3284" spans="1:4" x14ac:dyDescent="0.55000000000000004">
      <c r="A3284" t="s">
        <v>557</v>
      </c>
      <c r="D3284" t="str">
        <f t="shared" si="2706"/>
        <v xml:space="preserve">  "46-38": {</v>
      </c>
    </row>
    <row r="3285" spans="1:4" x14ac:dyDescent="0.55000000000000004">
      <c r="A3285" t="s">
        <v>540</v>
      </c>
      <c r="B3285">
        <f t="shared" ref="B3285" si="2707">_xlfn.NUMBERVALUE(RIGHT(A3285,2))</f>
        <v>43</v>
      </c>
      <c r="D3285" t="str">
        <f t="shared" ref="D3285:D3348" si="2708">A3285&amp;","</f>
        <v xml:space="preserve">    "resultPage": 43,</v>
      </c>
    </row>
    <row r="3286" spans="1:4" x14ac:dyDescent="0.55000000000000004">
      <c r="A3286" t="s">
        <v>763</v>
      </c>
      <c r="B3286" t="str">
        <f>VLOOKUP(B3285,Tabelle3!$A$2:$E$33,3,FALSE)</f>
        <v>Retrieving Weapon</v>
      </c>
      <c r="C3286" t="s">
        <v>762</v>
      </c>
      <c r="D3286" t="str">
        <f t="shared" ref="D3286" si="2709">_xlfn.CONCAT(A3286:C3286)</f>
        <v xml:space="preserve">    "message":  "Retrieving Weapon",</v>
      </c>
    </row>
    <row r="3287" spans="1:4" x14ac:dyDescent="0.55000000000000004">
      <c r="A3287" t="s">
        <v>764</v>
      </c>
      <c r="B3287" t="str">
        <f>VLOOKUP(B3285,Tabelle3!$A$2:$E$33,5,FALSE)</f>
        <v>X</v>
      </c>
      <c r="C3287" t="s">
        <v>762</v>
      </c>
      <c r="D3287" t="str">
        <f t="shared" si="2684"/>
        <v xml:space="preserve">    "nextInstruction":  "X",</v>
      </c>
    </row>
    <row r="3288" spans="1:4" x14ac:dyDescent="0.55000000000000004">
      <c r="A3288" t="s">
        <v>765</v>
      </c>
      <c r="B3288" t="str">
        <f>VLOOKUP(B3285,Tabelle3!$A$2:$E$33,4,FALSE)</f>
        <v>""</v>
      </c>
      <c r="D3288" t="str">
        <f t="shared" ref="D3288:D3351" si="2710">IF(ISNUMBER(B3288),(A3288&amp;B3288),"")</f>
        <v/>
      </c>
    </row>
    <row r="3289" spans="1:4" x14ac:dyDescent="0.55000000000000004">
      <c r="A3289" t="s">
        <v>6</v>
      </c>
      <c r="D3289" t="str">
        <f t="shared" ref="D3289:D3352" si="2711">A3289</f>
        <v xml:space="preserve">  },</v>
      </c>
    </row>
    <row r="3290" spans="1:4" x14ac:dyDescent="0.55000000000000004">
      <c r="A3290" t="s">
        <v>558</v>
      </c>
      <c r="D3290" t="str">
        <f t="shared" si="2711"/>
        <v xml:space="preserve">  "46-40": {</v>
      </c>
    </row>
    <row r="3291" spans="1:4" x14ac:dyDescent="0.55000000000000004">
      <c r="A3291" t="s">
        <v>540</v>
      </c>
      <c r="B3291">
        <f t="shared" ref="B3291" si="2712">_xlfn.NUMBERVALUE(RIGHT(A3291,2))</f>
        <v>43</v>
      </c>
      <c r="D3291" t="str">
        <f t="shared" ref="D3291:D3354" si="2713">A3291&amp;","</f>
        <v xml:space="preserve">    "resultPage": 43,</v>
      </c>
    </row>
    <row r="3292" spans="1:4" x14ac:dyDescent="0.55000000000000004">
      <c r="A3292" t="s">
        <v>763</v>
      </c>
      <c r="B3292" t="str">
        <f>VLOOKUP(B3291,Tabelle3!$A$2:$E$33,3,FALSE)</f>
        <v>Retrieving Weapon</v>
      </c>
      <c r="C3292" t="s">
        <v>762</v>
      </c>
      <c r="D3292" t="str">
        <f t="shared" ref="D3292" si="2714">_xlfn.CONCAT(A3292:C3292)</f>
        <v xml:space="preserve">    "message":  "Retrieving Weapon",</v>
      </c>
    </row>
    <row r="3293" spans="1:4" x14ac:dyDescent="0.55000000000000004">
      <c r="A3293" t="s">
        <v>764</v>
      </c>
      <c r="B3293" t="str">
        <f>VLOOKUP(B3291,Tabelle3!$A$2:$E$33,5,FALSE)</f>
        <v>X</v>
      </c>
      <c r="C3293" t="s">
        <v>762</v>
      </c>
      <c r="D3293" t="str">
        <f t="shared" si="2684"/>
        <v xml:space="preserve">    "nextInstruction":  "X",</v>
      </c>
    </row>
    <row r="3294" spans="1:4" x14ac:dyDescent="0.55000000000000004">
      <c r="A3294" t="s">
        <v>765</v>
      </c>
      <c r="B3294" t="str">
        <f>VLOOKUP(B3291,Tabelle3!$A$2:$E$33,4,FALSE)</f>
        <v>""</v>
      </c>
      <c r="D3294" t="str">
        <f t="shared" ref="D3294:D3357" si="2715">IF(ISNUMBER(B3294),(A3294&amp;B3294),"")</f>
        <v/>
      </c>
    </row>
    <row r="3295" spans="1:4" x14ac:dyDescent="0.55000000000000004">
      <c r="A3295" t="s">
        <v>6</v>
      </c>
      <c r="D3295" t="str">
        <f t="shared" ref="D3295:D3358" si="2716">A3295</f>
        <v xml:space="preserve">  },</v>
      </c>
    </row>
    <row r="3296" spans="1:4" x14ac:dyDescent="0.55000000000000004">
      <c r="A3296" t="s">
        <v>559</v>
      </c>
      <c r="D3296" t="str">
        <f t="shared" si="2716"/>
        <v xml:space="preserve">  "46-42": {</v>
      </c>
    </row>
    <row r="3297" spans="1:4" x14ac:dyDescent="0.55000000000000004">
      <c r="A3297" t="s">
        <v>274</v>
      </c>
      <c r="B3297">
        <f t="shared" ref="B3297" si="2717">_xlfn.NUMBERVALUE(RIGHT(A3297,2))</f>
        <v>27</v>
      </c>
      <c r="D3297" t="str">
        <f t="shared" ref="D3297:D3360" si="2718">A3297&amp;","</f>
        <v xml:space="preserve">    "resultPage": 27,</v>
      </c>
    </row>
    <row r="3298" spans="1:4" x14ac:dyDescent="0.55000000000000004">
      <c r="A3298" t="s">
        <v>763</v>
      </c>
      <c r="B3298" t="str">
        <f>VLOOKUP(B3297,Tabelle3!$A$2:$E$33,3,FALSE)</f>
        <v>Weapon Dislodged</v>
      </c>
      <c r="C3298" t="s">
        <v>762</v>
      </c>
      <c r="D3298" t="str">
        <f t="shared" ref="D3298" si="2719">_xlfn.CONCAT(A3298:C3298)</f>
        <v xml:space="preserve">    "message":  "Weapon Dislodged",</v>
      </c>
    </row>
    <row r="3299" spans="1:4" x14ac:dyDescent="0.55000000000000004">
      <c r="A3299" t="s">
        <v>764</v>
      </c>
      <c r="B3299" t="str">
        <f>VLOOKUP(B3297,Tabelle3!$A$2:$E$33,5,FALSE)</f>
        <v>Only Green Only Yellow Only Kicks Except Wildswings Until Weapon has been retrieved</v>
      </c>
      <c r="C3299" t="s">
        <v>762</v>
      </c>
      <c r="D3299" t="str">
        <f t="shared" si="2684"/>
        <v xml:space="preserve">    "nextInstruction":  "Only Green Only Yellow Only Kicks Except Wildswings Until Weapon has been retrieved",</v>
      </c>
    </row>
    <row r="3300" spans="1:4" x14ac:dyDescent="0.55000000000000004">
      <c r="A3300" t="s">
        <v>765</v>
      </c>
      <c r="B3300" t="str">
        <f>VLOOKUP(B3297,Tabelle3!$A$2:$E$33,4,FALSE)</f>
        <v>""</v>
      </c>
      <c r="D3300" t="str">
        <f t="shared" ref="D3300:D3363" si="2720">IF(ISNUMBER(B3300),(A3300&amp;B3300),"")</f>
        <v/>
      </c>
    </row>
    <row r="3301" spans="1:4" x14ac:dyDescent="0.55000000000000004">
      <c r="A3301" t="s">
        <v>6</v>
      </c>
      <c r="D3301" t="str">
        <f t="shared" ref="D3301:D3364" si="2721">A3301</f>
        <v xml:space="preserve">  },</v>
      </c>
    </row>
    <row r="3302" spans="1:4" x14ac:dyDescent="0.55000000000000004">
      <c r="A3302" t="s">
        <v>560</v>
      </c>
      <c r="D3302" t="str">
        <f t="shared" si="2721"/>
        <v xml:space="preserve">  "46-44": {</v>
      </c>
    </row>
    <row r="3303" spans="1:4" x14ac:dyDescent="0.55000000000000004">
      <c r="A3303" t="s">
        <v>274</v>
      </c>
      <c r="B3303">
        <f t="shared" ref="B3303" si="2722">_xlfn.NUMBERVALUE(RIGHT(A3303,2))</f>
        <v>27</v>
      </c>
      <c r="D3303" t="str">
        <f t="shared" ref="D3303:D3366" si="2723">A3303&amp;","</f>
        <v xml:space="preserve">    "resultPage": 27,</v>
      </c>
    </row>
    <row r="3304" spans="1:4" x14ac:dyDescent="0.55000000000000004">
      <c r="A3304" t="s">
        <v>763</v>
      </c>
      <c r="B3304" t="str">
        <f>VLOOKUP(B3303,Tabelle3!$A$2:$E$33,3,FALSE)</f>
        <v>Weapon Dislodged</v>
      </c>
      <c r="C3304" t="s">
        <v>762</v>
      </c>
      <c r="D3304" t="str">
        <f t="shared" ref="D3304" si="2724">_xlfn.CONCAT(A3304:C3304)</f>
        <v xml:space="preserve">    "message":  "Weapon Dislodged",</v>
      </c>
    </row>
    <row r="3305" spans="1:4" x14ac:dyDescent="0.55000000000000004">
      <c r="A3305" t="s">
        <v>764</v>
      </c>
      <c r="B3305" t="str">
        <f>VLOOKUP(B3303,Tabelle3!$A$2:$E$33,5,FALSE)</f>
        <v>Only Green Only Yellow Only Kicks Except Wildswings Until Weapon has been retrieved</v>
      </c>
      <c r="C3305" t="s">
        <v>762</v>
      </c>
      <c r="D3305" t="str">
        <f t="shared" si="2684"/>
        <v xml:space="preserve">    "nextInstruction":  "Only Green Only Yellow Only Kicks Except Wildswings Until Weapon has been retrieved",</v>
      </c>
    </row>
    <row r="3306" spans="1:4" x14ac:dyDescent="0.55000000000000004">
      <c r="A3306" t="s">
        <v>765</v>
      </c>
      <c r="B3306" t="str">
        <f>VLOOKUP(B3303,Tabelle3!$A$2:$E$33,4,FALSE)</f>
        <v>""</v>
      </c>
      <c r="D3306" t="str">
        <f t="shared" ref="D3306:D3369" si="2725">IF(ISNUMBER(B3306),(A3306&amp;B3306),"")</f>
        <v/>
      </c>
    </row>
    <row r="3307" spans="1:4" x14ac:dyDescent="0.55000000000000004">
      <c r="A3307" t="s">
        <v>6</v>
      </c>
      <c r="D3307" t="str">
        <f t="shared" ref="D3307:D3370" si="2726">A3307</f>
        <v xml:space="preserve">  },</v>
      </c>
    </row>
    <row r="3308" spans="1:4" x14ac:dyDescent="0.55000000000000004">
      <c r="A3308" t="s">
        <v>561</v>
      </c>
      <c r="D3308" t="str">
        <f t="shared" si="2726"/>
        <v xml:space="preserve">  "46-46": {</v>
      </c>
    </row>
    <row r="3309" spans="1:4" x14ac:dyDescent="0.55000000000000004">
      <c r="A3309" t="s">
        <v>540</v>
      </c>
      <c r="B3309">
        <f t="shared" ref="B3309" si="2727">_xlfn.NUMBERVALUE(RIGHT(A3309,2))</f>
        <v>43</v>
      </c>
      <c r="D3309" t="str">
        <f t="shared" ref="D3309:D3372" si="2728">A3309&amp;","</f>
        <v xml:space="preserve">    "resultPage": 43,</v>
      </c>
    </row>
    <row r="3310" spans="1:4" x14ac:dyDescent="0.55000000000000004">
      <c r="A3310" t="s">
        <v>763</v>
      </c>
      <c r="B3310" t="str">
        <f>VLOOKUP(B3309,Tabelle3!$A$2:$E$33,3,FALSE)</f>
        <v>Retrieving Weapon</v>
      </c>
      <c r="C3310" t="s">
        <v>762</v>
      </c>
      <c r="D3310" t="str">
        <f t="shared" ref="D3310" si="2729">_xlfn.CONCAT(A3310:C3310)</f>
        <v xml:space="preserve">    "message":  "Retrieving Weapon",</v>
      </c>
    </row>
    <row r="3311" spans="1:4" x14ac:dyDescent="0.55000000000000004">
      <c r="A3311" t="s">
        <v>764</v>
      </c>
      <c r="B3311" t="str">
        <f>VLOOKUP(B3309,Tabelle3!$A$2:$E$33,5,FALSE)</f>
        <v>X</v>
      </c>
      <c r="C3311" t="s">
        <v>762</v>
      </c>
      <c r="D3311" t="str">
        <f t="shared" si="2684"/>
        <v xml:space="preserve">    "nextInstruction":  "X",</v>
      </c>
    </row>
    <row r="3312" spans="1:4" x14ac:dyDescent="0.55000000000000004">
      <c r="A3312" t="s">
        <v>765</v>
      </c>
      <c r="B3312" t="str">
        <f>VLOOKUP(B3309,Tabelle3!$A$2:$E$33,4,FALSE)</f>
        <v>""</v>
      </c>
      <c r="D3312" t="str">
        <f t="shared" ref="D3312:D3375" si="2730">IF(ISNUMBER(B3312),(A3312&amp;B3312),"")</f>
        <v/>
      </c>
    </row>
    <row r="3313" spans="1:4" x14ac:dyDescent="0.55000000000000004">
      <c r="A3313" t="s">
        <v>6</v>
      </c>
      <c r="D3313" t="str">
        <f t="shared" ref="D3313:D3376" si="2731">A3313</f>
        <v xml:space="preserve">  },</v>
      </c>
    </row>
    <row r="3314" spans="1:4" x14ac:dyDescent="0.55000000000000004">
      <c r="A3314" t="s">
        <v>562</v>
      </c>
      <c r="D3314" t="str">
        <f t="shared" si="2731"/>
        <v xml:space="preserve">  "46-48": {</v>
      </c>
    </row>
    <row r="3315" spans="1:4" x14ac:dyDescent="0.55000000000000004">
      <c r="A3315" t="s">
        <v>58</v>
      </c>
      <c r="B3315">
        <f t="shared" ref="B3315" si="2732">_xlfn.NUMBERVALUE(RIGHT(A3315,2))</f>
        <v>19</v>
      </c>
      <c r="D3315" t="str">
        <f t="shared" ref="D3315:D3378" si="2733">A3315&amp;","</f>
        <v xml:space="preserve">    "resultPage": 19,</v>
      </c>
    </row>
    <row r="3316" spans="1:4" x14ac:dyDescent="0.55000000000000004">
      <c r="A3316" t="s">
        <v>763</v>
      </c>
      <c r="B3316" t="str">
        <f>VLOOKUP(B3315,Tabelle3!$A$2:$E$33,3,FALSE)</f>
        <v>Struck off Balance</v>
      </c>
      <c r="C3316" t="s">
        <v>762</v>
      </c>
      <c r="D3316" t="str">
        <f t="shared" ref="D3316" si="2734">_xlfn.CONCAT(A3316:C3316)</f>
        <v xml:space="preserve">    "message":  "Struck off Balance",</v>
      </c>
    </row>
    <row r="3317" spans="1:4" x14ac:dyDescent="0.55000000000000004">
      <c r="A3317" t="s">
        <v>764</v>
      </c>
      <c r="B3317" t="str">
        <f>VLOOKUP(B3315,Tabelle3!$A$2:$E$33,5,FALSE)</f>
        <v>Only Green Only Yellow</v>
      </c>
      <c r="C3317" t="s">
        <v>762</v>
      </c>
      <c r="D3317" t="str">
        <f t="shared" si="2684"/>
        <v xml:space="preserve">    "nextInstruction":  "Only Green Only Yellow",</v>
      </c>
    </row>
    <row r="3318" spans="1:4" x14ac:dyDescent="0.55000000000000004">
      <c r="A3318" t="s">
        <v>765</v>
      </c>
      <c r="B3318">
        <f>VLOOKUP(B3315,Tabelle3!$A$2:$E$33,4,FALSE)</f>
        <v>0</v>
      </c>
      <c r="D3318" t="str">
        <f t="shared" ref="D3318:D3381" si="2735">IF(ISNUMBER(B3318),(A3318&amp;B3318),"")</f>
        <v xml:space="preserve">    "damageModifier": 0</v>
      </c>
    </row>
    <row r="3319" spans="1:4" x14ac:dyDescent="0.55000000000000004">
      <c r="A3319" t="s">
        <v>6</v>
      </c>
      <c r="D3319" t="str">
        <f t="shared" ref="D3319:D3382" si="2736">A3319</f>
        <v xml:space="preserve">  },</v>
      </c>
    </row>
    <row r="3320" spans="1:4" x14ac:dyDescent="0.55000000000000004">
      <c r="A3320" t="s">
        <v>563</v>
      </c>
      <c r="D3320" t="str">
        <f t="shared" si="2736"/>
        <v xml:space="preserve">  "48-4": {</v>
      </c>
    </row>
    <row r="3321" spans="1:4" x14ac:dyDescent="0.55000000000000004">
      <c r="A3321" t="s">
        <v>35</v>
      </c>
      <c r="B3321">
        <f t="shared" ref="B3321" si="2737">_xlfn.NUMBERVALUE(RIGHT(A3321,2))</f>
        <v>59</v>
      </c>
      <c r="D3321" t="str">
        <f t="shared" ref="D3321:D3384" si="2738">A3321&amp;","</f>
        <v xml:space="preserve">    "resultPage": 59,</v>
      </c>
    </row>
    <row r="3322" spans="1:4" x14ac:dyDescent="0.55000000000000004">
      <c r="A3322" t="s">
        <v>763</v>
      </c>
      <c r="B3322" t="str">
        <f>VLOOKUP(B3321,Tabelle3!$A$2:$E$33,3,FALSE)</f>
        <v>Pushed off Balance</v>
      </c>
      <c r="C3322" t="s">
        <v>762</v>
      </c>
      <c r="D3322" t="str">
        <f t="shared" ref="D3322:D3383" si="2739">_xlfn.CONCAT(A3322:C3322)</f>
        <v xml:space="preserve">    "message":  "Pushed off Balance",</v>
      </c>
    </row>
    <row r="3323" spans="1:4" x14ac:dyDescent="0.55000000000000004">
      <c r="A3323" t="s">
        <v>764</v>
      </c>
      <c r="B3323" t="str">
        <f>VLOOKUP(B3321,Tabelle3!$A$2:$E$33,5,FALSE)</f>
        <v>Only Green Only Yellow</v>
      </c>
      <c r="C3323" t="s">
        <v>762</v>
      </c>
      <c r="D3323" t="str">
        <f t="shared" si="2739"/>
        <v xml:space="preserve">    "nextInstruction":  "Only Green Only Yellow",</v>
      </c>
    </row>
    <row r="3324" spans="1:4" x14ac:dyDescent="0.55000000000000004">
      <c r="A3324" t="s">
        <v>765</v>
      </c>
      <c r="B3324">
        <f>VLOOKUP(B3321,Tabelle3!$A$2:$E$33,4,FALSE)</f>
        <v>0</v>
      </c>
      <c r="D3324" t="str">
        <f t="shared" ref="D3324:D3387" si="2740">IF(ISNUMBER(B3324),(A3324&amp;B3324),"")</f>
        <v xml:space="preserve">    "damageModifier": 0</v>
      </c>
    </row>
    <row r="3325" spans="1:4" x14ac:dyDescent="0.55000000000000004">
      <c r="A3325" t="s">
        <v>6</v>
      </c>
      <c r="D3325" t="str">
        <f t="shared" ref="D3325:D3388" si="2741">A3325</f>
        <v xml:space="preserve">  },</v>
      </c>
    </row>
    <row r="3326" spans="1:4" x14ac:dyDescent="0.55000000000000004">
      <c r="A3326" t="s">
        <v>564</v>
      </c>
      <c r="D3326" t="str">
        <f t="shared" si="2741"/>
        <v xml:space="preserve">  "48-6": {</v>
      </c>
    </row>
    <row r="3327" spans="1:4" x14ac:dyDescent="0.55000000000000004">
      <c r="A3327" t="s">
        <v>76</v>
      </c>
      <c r="B3327">
        <f t="shared" ref="B3327" si="2742">_xlfn.NUMBERVALUE(RIGHT(A3327,2))</f>
        <v>45</v>
      </c>
      <c r="D3327" t="str">
        <f t="shared" ref="D3327:D3390" si="2743">A3327&amp;","</f>
        <v xml:space="preserve">    "resultPage": 45,</v>
      </c>
    </row>
    <row r="3328" spans="1:4" x14ac:dyDescent="0.55000000000000004">
      <c r="A3328" t="s">
        <v>763</v>
      </c>
      <c r="B3328" t="str">
        <f>VLOOKUP(B3327,Tabelle3!$A$2:$E$33,3,FALSE)</f>
        <v>Parrying High</v>
      </c>
      <c r="C3328" t="s">
        <v>762</v>
      </c>
      <c r="D3328" t="str">
        <f t="shared" ref="D3328" si="2744">_xlfn.CONCAT(A3328:C3328)</f>
        <v xml:space="preserve">    "message":  "Parrying High",</v>
      </c>
    </row>
    <row r="3329" spans="1:4" x14ac:dyDescent="0.55000000000000004">
      <c r="A3329" t="s">
        <v>764</v>
      </c>
      <c r="B3329" t="str">
        <f>VLOOKUP(B3327,Tabelle3!$A$2:$E$33,5,FALSE)</f>
        <v/>
      </c>
      <c r="C3329" t="s">
        <v>762</v>
      </c>
      <c r="D3329" t="str">
        <f t="shared" si="2739"/>
        <v xml:space="preserve">    "nextInstruction":  "",</v>
      </c>
    </row>
    <row r="3330" spans="1:4" x14ac:dyDescent="0.55000000000000004">
      <c r="A3330" t="s">
        <v>765</v>
      </c>
      <c r="B3330">
        <f>VLOOKUP(B3327,Tabelle3!$A$2:$E$33,4,FALSE)</f>
        <v>-4</v>
      </c>
      <c r="D3330" t="str">
        <f t="shared" ref="D3330:D3393" si="2745">IF(ISNUMBER(B3330),(A3330&amp;B3330),"")</f>
        <v xml:space="preserve">    "damageModifier": -4</v>
      </c>
    </row>
    <row r="3331" spans="1:4" x14ac:dyDescent="0.55000000000000004">
      <c r="A3331" t="s">
        <v>6</v>
      </c>
      <c r="D3331" t="str">
        <f t="shared" ref="D3331:D3394" si="2746">A3331</f>
        <v xml:space="preserve">  },</v>
      </c>
    </row>
    <row r="3332" spans="1:4" x14ac:dyDescent="0.55000000000000004">
      <c r="A3332" t="s">
        <v>565</v>
      </c>
      <c r="D3332" t="str">
        <f t="shared" si="2746"/>
        <v xml:space="preserve">  "48-8": {</v>
      </c>
    </row>
    <row r="3333" spans="1:4" x14ac:dyDescent="0.55000000000000004">
      <c r="A3333" t="s">
        <v>116</v>
      </c>
      <c r="B3333">
        <f t="shared" ref="B3333" si="2747">_xlfn.NUMBERVALUE(RIGHT(A3333,2))</f>
        <v>3</v>
      </c>
      <c r="D3333" t="str">
        <f t="shared" ref="D3333:D3396" si="2748">A3333&amp;","</f>
        <v xml:space="preserve">    "resultPage": 3,</v>
      </c>
    </row>
    <row r="3334" spans="1:4" x14ac:dyDescent="0.55000000000000004">
      <c r="A3334" t="s">
        <v>763</v>
      </c>
      <c r="B3334" t="str">
        <f>VLOOKUP(B3333,Tabelle3!$A$2:$E$33,3,FALSE)</f>
        <v>Swinging High</v>
      </c>
      <c r="C3334" t="s">
        <v>762</v>
      </c>
      <c r="D3334" t="str">
        <f t="shared" ref="D3334" si="2749">_xlfn.CONCAT(A3334:C3334)</f>
        <v xml:space="preserve">    "message":  "Swinging High",</v>
      </c>
    </row>
    <row r="3335" spans="1:4" x14ac:dyDescent="0.55000000000000004">
      <c r="A3335" t="s">
        <v>764</v>
      </c>
      <c r="B3335" t="str">
        <f>VLOOKUP(B3333,Tabelle3!$A$2:$E$33,5,FALSE)</f>
        <v>No Red</v>
      </c>
      <c r="C3335" t="s">
        <v>762</v>
      </c>
      <c r="D3335" t="str">
        <f t="shared" si="2739"/>
        <v xml:space="preserve">    "nextInstruction":  "No Red",</v>
      </c>
    </row>
    <row r="3336" spans="1:4" x14ac:dyDescent="0.55000000000000004">
      <c r="A3336" t="s">
        <v>765</v>
      </c>
      <c r="B3336" t="str">
        <f>VLOOKUP(B3333,Tabelle3!$A$2:$E$33,4,FALSE)</f>
        <v>""</v>
      </c>
      <c r="D3336" t="str">
        <f t="shared" ref="D3336:D3399" si="2750">IF(ISNUMBER(B3336),(A3336&amp;B3336),"")</f>
        <v/>
      </c>
    </row>
    <row r="3337" spans="1:4" x14ac:dyDescent="0.55000000000000004">
      <c r="A3337" t="s">
        <v>6</v>
      </c>
      <c r="D3337" t="str">
        <f t="shared" ref="D3337:D3400" si="2751">A3337</f>
        <v xml:space="preserve">  },</v>
      </c>
    </row>
    <row r="3338" spans="1:4" x14ac:dyDescent="0.55000000000000004">
      <c r="A3338" t="s">
        <v>566</v>
      </c>
      <c r="D3338" t="str">
        <f t="shared" si="2751"/>
        <v xml:space="preserve">  "48-10": {</v>
      </c>
    </row>
    <row r="3339" spans="1:4" x14ac:dyDescent="0.55000000000000004">
      <c r="A3339" t="s">
        <v>76</v>
      </c>
      <c r="B3339">
        <f t="shared" ref="B3339" si="2752">_xlfn.NUMBERVALUE(RIGHT(A3339,2))</f>
        <v>45</v>
      </c>
      <c r="D3339" t="str">
        <f t="shared" ref="D3339:D3402" si="2753">A3339&amp;","</f>
        <v xml:space="preserve">    "resultPage": 45,</v>
      </c>
    </row>
    <row r="3340" spans="1:4" x14ac:dyDescent="0.55000000000000004">
      <c r="A3340" t="s">
        <v>763</v>
      </c>
      <c r="B3340" t="str">
        <f>VLOOKUP(B3339,Tabelle3!$A$2:$E$33,3,FALSE)</f>
        <v>Parrying High</v>
      </c>
      <c r="C3340" t="s">
        <v>762</v>
      </c>
      <c r="D3340" t="str">
        <f t="shared" ref="D3340" si="2754">_xlfn.CONCAT(A3340:C3340)</f>
        <v xml:space="preserve">    "message":  "Parrying High",</v>
      </c>
    </row>
    <row r="3341" spans="1:4" x14ac:dyDescent="0.55000000000000004">
      <c r="A3341" t="s">
        <v>764</v>
      </c>
      <c r="B3341" t="str">
        <f>VLOOKUP(B3339,Tabelle3!$A$2:$E$33,5,FALSE)</f>
        <v/>
      </c>
      <c r="C3341" t="s">
        <v>762</v>
      </c>
      <c r="D3341" t="str">
        <f t="shared" si="2739"/>
        <v xml:space="preserve">    "nextInstruction":  "",</v>
      </c>
    </row>
    <row r="3342" spans="1:4" x14ac:dyDescent="0.55000000000000004">
      <c r="A3342" t="s">
        <v>765</v>
      </c>
      <c r="B3342">
        <f>VLOOKUP(B3339,Tabelle3!$A$2:$E$33,4,FALSE)</f>
        <v>-4</v>
      </c>
      <c r="D3342" t="str">
        <f t="shared" ref="D3342:D3405" si="2755">IF(ISNUMBER(B3342),(A3342&amp;B3342),"")</f>
        <v xml:space="preserve">    "damageModifier": -4</v>
      </c>
    </row>
    <row r="3343" spans="1:4" x14ac:dyDescent="0.55000000000000004">
      <c r="A3343" t="s">
        <v>6</v>
      </c>
      <c r="D3343" t="str">
        <f t="shared" ref="D3343:D3406" si="2756">A3343</f>
        <v xml:space="preserve">  },</v>
      </c>
    </row>
    <row r="3344" spans="1:4" x14ac:dyDescent="0.55000000000000004">
      <c r="A3344" t="s">
        <v>567</v>
      </c>
      <c r="D3344" t="str">
        <f t="shared" si="2756"/>
        <v xml:space="preserve">  "48-12": {</v>
      </c>
    </row>
    <row r="3345" spans="1:4" x14ac:dyDescent="0.55000000000000004">
      <c r="A3345" t="s">
        <v>76</v>
      </c>
      <c r="B3345">
        <f t="shared" ref="B3345" si="2757">_xlfn.NUMBERVALUE(RIGHT(A3345,2))</f>
        <v>45</v>
      </c>
      <c r="D3345" t="str">
        <f t="shared" ref="D3345:D3408" si="2758">A3345&amp;","</f>
        <v xml:space="preserve">    "resultPage": 45,</v>
      </c>
    </row>
    <row r="3346" spans="1:4" x14ac:dyDescent="0.55000000000000004">
      <c r="A3346" t="s">
        <v>763</v>
      </c>
      <c r="B3346" t="str">
        <f>VLOOKUP(B3345,Tabelle3!$A$2:$E$33,3,FALSE)</f>
        <v>Parrying High</v>
      </c>
      <c r="C3346" t="s">
        <v>762</v>
      </c>
      <c r="D3346" t="str">
        <f t="shared" ref="D3346" si="2759">_xlfn.CONCAT(A3346:C3346)</f>
        <v xml:space="preserve">    "message":  "Parrying High",</v>
      </c>
    </row>
    <row r="3347" spans="1:4" x14ac:dyDescent="0.55000000000000004">
      <c r="A3347" t="s">
        <v>764</v>
      </c>
      <c r="B3347" t="str">
        <f>VLOOKUP(B3345,Tabelle3!$A$2:$E$33,5,FALSE)</f>
        <v/>
      </c>
      <c r="C3347" t="s">
        <v>762</v>
      </c>
      <c r="D3347" t="str">
        <f t="shared" si="2739"/>
        <v xml:space="preserve">    "nextInstruction":  "",</v>
      </c>
    </row>
    <row r="3348" spans="1:4" x14ac:dyDescent="0.55000000000000004">
      <c r="A3348" t="s">
        <v>765</v>
      </c>
      <c r="B3348">
        <f>VLOOKUP(B3345,Tabelle3!$A$2:$E$33,4,FALSE)</f>
        <v>-4</v>
      </c>
      <c r="D3348" t="str">
        <f t="shared" ref="D3348:D3411" si="2760">IF(ISNUMBER(B3348),(A3348&amp;B3348),"")</f>
        <v xml:space="preserve">    "damageModifier": -4</v>
      </c>
    </row>
    <row r="3349" spans="1:4" x14ac:dyDescent="0.55000000000000004">
      <c r="A3349" t="s">
        <v>6</v>
      </c>
      <c r="D3349" t="str">
        <f t="shared" ref="D3349:D3412" si="2761">A3349</f>
        <v xml:space="preserve">  },</v>
      </c>
    </row>
    <row r="3350" spans="1:4" x14ac:dyDescent="0.55000000000000004">
      <c r="A3350" t="s">
        <v>568</v>
      </c>
      <c r="D3350" t="str">
        <f t="shared" si="2761"/>
        <v xml:space="preserve">  "48-14": {</v>
      </c>
    </row>
    <row r="3351" spans="1:4" x14ac:dyDescent="0.55000000000000004">
      <c r="A3351" t="s">
        <v>13</v>
      </c>
      <c r="B3351">
        <f t="shared" ref="B3351" si="2762">_xlfn.NUMBERVALUE(RIGHT(A3351,2))</f>
        <v>49</v>
      </c>
      <c r="D3351" t="str">
        <f t="shared" ref="D3351:D3414" si="2763">A3351&amp;","</f>
        <v xml:space="preserve">    "resultPage": 49,</v>
      </c>
    </row>
    <row r="3352" spans="1:4" x14ac:dyDescent="0.55000000000000004">
      <c r="A3352" t="s">
        <v>763</v>
      </c>
      <c r="B3352" t="str">
        <f>VLOOKUP(B3351,Tabelle3!$A$2:$E$33,3,FALSE)</f>
        <v>Parrying Low</v>
      </c>
      <c r="C3352" t="s">
        <v>762</v>
      </c>
      <c r="D3352" t="str">
        <f t="shared" ref="D3352" si="2764">_xlfn.CONCAT(A3352:C3352)</f>
        <v xml:space="preserve">    "message":  "Parrying Low",</v>
      </c>
    </row>
    <row r="3353" spans="1:4" x14ac:dyDescent="0.55000000000000004">
      <c r="A3353" t="s">
        <v>764</v>
      </c>
      <c r="B3353" t="str">
        <f>VLOOKUP(B3351,Tabelle3!$A$2:$E$33,5,FALSE)</f>
        <v/>
      </c>
      <c r="C3353" t="s">
        <v>762</v>
      </c>
      <c r="D3353" t="str">
        <f t="shared" si="2739"/>
        <v xml:space="preserve">    "nextInstruction":  "",</v>
      </c>
    </row>
    <row r="3354" spans="1:4" x14ac:dyDescent="0.55000000000000004">
      <c r="A3354" t="s">
        <v>765</v>
      </c>
      <c r="B3354">
        <f>VLOOKUP(B3351,Tabelle3!$A$2:$E$33,4,FALSE)</f>
        <v>-4</v>
      </c>
      <c r="D3354" t="str">
        <f t="shared" ref="D3354:D3417" si="2765">IF(ISNUMBER(B3354),(A3354&amp;B3354),"")</f>
        <v xml:space="preserve">    "damageModifier": -4</v>
      </c>
    </row>
    <row r="3355" spans="1:4" x14ac:dyDescent="0.55000000000000004">
      <c r="A3355" t="s">
        <v>6</v>
      </c>
      <c r="D3355" t="str">
        <f t="shared" ref="D3355:D3418" si="2766">A3355</f>
        <v xml:space="preserve">  },</v>
      </c>
    </row>
    <row r="3356" spans="1:4" x14ac:dyDescent="0.55000000000000004">
      <c r="A3356" t="s">
        <v>569</v>
      </c>
      <c r="D3356" t="str">
        <f t="shared" si="2766"/>
        <v xml:space="preserve">  "48-16": {</v>
      </c>
    </row>
    <row r="3357" spans="1:4" x14ac:dyDescent="0.55000000000000004">
      <c r="A3357" t="s">
        <v>15</v>
      </c>
      <c r="B3357">
        <f t="shared" ref="B3357" si="2767">_xlfn.NUMBERVALUE(RIGHT(A3357,2))</f>
        <v>57</v>
      </c>
      <c r="D3357" t="str">
        <f t="shared" ref="D3357:D3420" si="2768">A3357&amp;","</f>
        <v xml:space="preserve">    "resultPage": 57,</v>
      </c>
    </row>
    <row r="3358" spans="1:4" x14ac:dyDescent="0.55000000000000004">
      <c r="A3358" t="s">
        <v>763</v>
      </c>
      <c r="B3358" t="str">
        <f>VLOOKUP(B3357,Tabelle3!$A$2:$E$33,3,FALSE)</f>
        <v>Extended Range Blocking</v>
      </c>
      <c r="C3358" t="s">
        <v>762</v>
      </c>
      <c r="D3358" t="str">
        <f t="shared" ref="D3358" si="2769">_xlfn.CONCAT(A3358:C3358)</f>
        <v xml:space="preserve">    "message":  "Extended Range Blocking",</v>
      </c>
    </row>
    <row r="3359" spans="1:4" x14ac:dyDescent="0.55000000000000004">
      <c r="A3359" t="s">
        <v>764</v>
      </c>
      <c r="B3359" t="str">
        <f>VLOOKUP(B3357,Tabelle3!$A$2:$E$33,5,FALSE)</f>
        <v>Only Extended Range</v>
      </c>
      <c r="C3359" t="s">
        <v>762</v>
      </c>
      <c r="D3359" t="str">
        <f t="shared" si="2739"/>
        <v xml:space="preserve">    "nextInstruction":  "Only Extended Range",</v>
      </c>
    </row>
    <row r="3360" spans="1:4" x14ac:dyDescent="0.55000000000000004">
      <c r="A3360" t="s">
        <v>765</v>
      </c>
      <c r="B3360" t="str">
        <f>VLOOKUP(B3357,Tabelle3!$A$2:$E$33,4,FALSE)</f>
        <v>""</v>
      </c>
      <c r="D3360" t="str">
        <f t="shared" ref="D3360:D3423" si="2770">IF(ISNUMBER(B3360),(A3360&amp;B3360),"")</f>
        <v/>
      </c>
    </row>
    <row r="3361" spans="1:4" x14ac:dyDescent="0.55000000000000004">
      <c r="A3361" t="s">
        <v>6</v>
      </c>
      <c r="D3361" t="str">
        <f t="shared" ref="D3361:D3424" si="2771">A3361</f>
        <v xml:space="preserve">  },</v>
      </c>
    </row>
    <row r="3362" spans="1:4" x14ac:dyDescent="0.55000000000000004">
      <c r="A3362" t="s">
        <v>570</v>
      </c>
      <c r="D3362" t="str">
        <f t="shared" si="2771"/>
        <v xml:space="preserve">  "48-18": {</v>
      </c>
    </row>
    <row r="3363" spans="1:4" x14ac:dyDescent="0.55000000000000004">
      <c r="A3363" t="s">
        <v>116</v>
      </c>
      <c r="B3363">
        <f t="shared" ref="B3363" si="2772">_xlfn.NUMBERVALUE(RIGHT(A3363,2))</f>
        <v>3</v>
      </c>
      <c r="D3363" t="str">
        <f t="shared" ref="D3363:D3426" si="2773">A3363&amp;","</f>
        <v xml:space="preserve">    "resultPage": 3,</v>
      </c>
    </row>
    <row r="3364" spans="1:4" x14ac:dyDescent="0.55000000000000004">
      <c r="A3364" t="s">
        <v>763</v>
      </c>
      <c r="B3364" t="str">
        <f>VLOOKUP(B3363,Tabelle3!$A$2:$E$33,3,FALSE)</f>
        <v>Swinging High</v>
      </c>
      <c r="C3364" t="s">
        <v>762</v>
      </c>
      <c r="D3364" t="str">
        <f t="shared" ref="D3364" si="2774">_xlfn.CONCAT(A3364:C3364)</f>
        <v xml:space="preserve">    "message":  "Swinging High",</v>
      </c>
    </row>
    <row r="3365" spans="1:4" x14ac:dyDescent="0.55000000000000004">
      <c r="A3365" t="s">
        <v>764</v>
      </c>
      <c r="B3365" t="str">
        <f>VLOOKUP(B3363,Tabelle3!$A$2:$E$33,5,FALSE)</f>
        <v>No Red</v>
      </c>
      <c r="C3365" t="s">
        <v>762</v>
      </c>
      <c r="D3365" t="str">
        <f t="shared" si="2739"/>
        <v xml:space="preserve">    "nextInstruction":  "No Red",</v>
      </c>
    </row>
    <row r="3366" spans="1:4" x14ac:dyDescent="0.55000000000000004">
      <c r="A3366" t="s">
        <v>765</v>
      </c>
      <c r="B3366" t="str">
        <f>VLOOKUP(B3363,Tabelle3!$A$2:$E$33,4,FALSE)</f>
        <v>""</v>
      </c>
      <c r="D3366" t="str">
        <f t="shared" ref="D3366:D3429" si="2775">IF(ISNUMBER(B3366),(A3366&amp;B3366),"")</f>
        <v/>
      </c>
    </row>
    <row r="3367" spans="1:4" x14ac:dyDescent="0.55000000000000004">
      <c r="A3367" t="s">
        <v>6</v>
      </c>
      <c r="D3367" t="str">
        <f t="shared" ref="D3367:D3430" si="2776">A3367</f>
        <v xml:space="preserve">  },</v>
      </c>
    </row>
    <row r="3368" spans="1:4" x14ac:dyDescent="0.55000000000000004">
      <c r="A3368" t="s">
        <v>571</v>
      </c>
      <c r="D3368" t="str">
        <f t="shared" si="2776"/>
        <v xml:space="preserve">  "48-20": {</v>
      </c>
    </row>
    <row r="3369" spans="1:4" x14ac:dyDescent="0.55000000000000004">
      <c r="A3369" t="s">
        <v>116</v>
      </c>
      <c r="B3369">
        <f t="shared" ref="B3369" si="2777">_xlfn.NUMBERVALUE(RIGHT(A3369,2))</f>
        <v>3</v>
      </c>
      <c r="D3369" t="str">
        <f t="shared" ref="D3369:D3432" si="2778">A3369&amp;","</f>
        <v xml:space="preserve">    "resultPage": 3,</v>
      </c>
    </row>
    <row r="3370" spans="1:4" x14ac:dyDescent="0.55000000000000004">
      <c r="A3370" t="s">
        <v>763</v>
      </c>
      <c r="B3370" t="str">
        <f>VLOOKUP(B3369,Tabelle3!$A$2:$E$33,3,FALSE)</f>
        <v>Swinging High</v>
      </c>
      <c r="C3370" t="s">
        <v>762</v>
      </c>
      <c r="D3370" t="str">
        <f t="shared" ref="D3370" si="2779">_xlfn.CONCAT(A3370:C3370)</f>
        <v xml:space="preserve">    "message":  "Swinging High",</v>
      </c>
    </row>
    <row r="3371" spans="1:4" x14ac:dyDescent="0.55000000000000004">
      <c r="A3371" t="s">
        <v>764</v>
      </c>
      <c r="B3371" t="str">
        <f>VLOOKUP(B3369,Tabelle3!$A$2:$E$33,5,FALSE)</f>
        <v>No Red</v>
      </c>
      <c r="C3371" t="s">
        <v>762</v>
      </c>
      <c r="D3371" t="str">
        <f t="shared" si="2739"/>
        <v xml:space="preserve">    "nextInstruction":  "No Red",</v>
      </c>
    </row>
    <row r="3372" spans="1:4" x14ac:dyDescent="0.55000000000000004">
      <c r="A3372" t="s">
        <v>765</v>
      </c>
      <c r="B3372" t="str">
        <f>VLOOKUP(B3369,Tabelle3!$A$2:$E$33,4,FALSE)</f>
        <v>""</v>
      </c>
      <c r="D3372" t="str">
        <f t="shared" ref="D3372:D3435" si="2780">IF(ISNUMBER(B3372),(A3372&amp;B3372),"")</f>
        <v/>
      </c>
    </row>
    <row r="3373" spans="1:4" x14ac:dyDescent="0.55000000000000004">
      <c r="A3373" t="s">
        <v>6</v>
      </c>
      <c r="D3373" t="str">
        <f t="shared" ref="D3373:D3436" si="2781">A3373</f>
        <v xml:space="preserve">  },</v>
      </c>
    </row>
    <row r="3374" spans="1:4" x14ac:dyDescent="0.55000000000000004">
      <c r="A3374" t="s">
        <v>572</v>
      </c>
      <c r="D3374" t="str">
        <f t="shared" si="2781"/>
        <v xml:space="preserve">  "48-22": {</v>
      </c>
    </row>
    <row r="3375" spans="1:4" x14ac:dyDescent="0.55000000000000004">
      <c r="A3375" t="s">
        <v>13</v>
      </c>
      <c r="B3375">
        <f t="shared" ref="B3375" si="2782">_xlfn.NUMBERVALUE(RIGHT(A3375,2))</f>
        <v>49</v>
      </c>
      <c r="D3375" t="str">
        <f t="shared" ref="D3375:D3438" si="2783">A3375&amp;","</f>
        <v xml:space="preserve">    "resultPage": 49,</v>
      </c>
    </row>
    <row r="3376" spans="1:4" x14ac:dyDescent="0.55000000000000004">
      <c r="A3376" t="s">
        <v>763</v>
      </c>
      <c r="B3376" t="str">
        <f>VLOOKUP(B3375,Tabelle3!$A$2:$E$33,3,FALSE)</f>
        <v>Parrying Low</v>
      </c>
      <c r="C3376" t="s">
        <v>762</v>
      </c>
      <c r="D3376" t="str">
        <f t="shared" ref="D3376" si="2784">_xlfn.CONCAT(A3376:C3376)</f>
        <v xml:space="preserve">    "message":  "Parrying Low",</v>
      </c>
    </row>
    <row r="3377" spans="1:4" x14ac:dyDescent="0.55000000000000004">
      <c r="A3377" t="s">
        <v>764</v>
      </c>
      <c r="B3377" t="str">
        <f>VLOOKUP(B3375,Tabelle3!$A$2:$E$33,5,FALSE)</f>
        <v/>
      </c>
      <c r="C3377" t="s">
        <v>762</v>
      </c>
      <c r="D3377" t="str">
        <f t="shared" si="2739"/>
        <v xml:space="preserve">    "nextInstruction":  "",</v>
      </c>
    </row>
    <row r="3378" spans="1:4" x14ac:dyDescent="0.55000000000000004">
      <c r="A3378" t="s">
        <v>765</v>
      </c>
      <c r="B3378">
        <f>VLOOKUP(B3375,Tabelle3!$A$2:$E$33,4,FALSE)</f>
        <v>-4</v>
      </c>
      <c r="D3378" t="str">
        <f t="shared" ref="D3378:D3441" si="2785">IF(ISNUMBER(B3378),(A3378&amp;B3378),"")</f>
        <v xml:space="preserve">    "damageModifier": -4</v>
      </c>
    </row>
    <row r="3379" spans="1:4" x14ac:dyDescent="0.55000000000000004">
      <c r="A3379" t="s">
        <v>6</v>
      </c>
      <c r="D3379" t="str">
        <f t="shared" ref="D3379:D3442" si="2786">A3379</f>
        <v xml:space="preserve">  },</v>
      </c>
    </row>
    <row r="3380" spans="1:4" x14ac:dyDescent="0.55000000000000004">
      <c r="A3380" t="s">
        <v>573</v>
      </c>
      <c r="D3380" t="str">
        <f t="shared" si="2786"/>
        <v xml:space="preserve">  "48-24": {</v>
      </c>
    </row>
    <row r="3381" spans="1:4" x14ac:dyDescent="0.55000000000000004">
      <c r="A3381" t="s">
        <v>63</v>
      </c>
      <c r="B3381">
        <f t="shared" ref="B3381" si="2787">_xlfn.NUMBERVALUE(RIGHT(A3381,2))</f>
        <v>17</v>
      </c>
      <c r="D3381" t="str">
        <f t="shared" ref="D3381:D3444" si="2788">A3381&amp;","</f>
        <v xml:space="preserve">    "resultPage": 17,</v>
      </c>
    </row>
    <row r="3382" spans="1:4" x14ac:dyDescent="0.55000000000000004">
      <c r="A3382" t="s">
        <v>763</v>
      </c>
      <c r="B3382" t="str">
        <f>VLOOKUP(B3381,Tabelle3!$A$2:$E$33,3,FALSE)</f>
        <v>Blocking High</v>
      </c>
      <c r="C3382" t="s">
        <v>762</v>
      </c>
      <c r="D3382" t="str">
        <f t="shared" ref="D3382" si="2789">_xlfn.CONCAT(A3382:C3382)</f>
        <v xml:space="preserve">    "message":  "Blocking High",</v>
      </c>
    </row>
    <row r="3383" spans="1:4" x14ac:dyDescent="0.55000000000000004">
      <c r="A3383" t="s">
        <v>764</v>
      </c>
      <c r="B3383" t="str">
        <f>VLOOKUP(B3381,Tabelle3!$A$2:$E$33,5,FALSE)</f>
        <v>No Blue</v>
      </c>
      <c r="C3383" t="s">
        <v>762</v>
      </c>
      <c r="D3383" t="str">
        <f t="shared" si="2739"/>
        <v xml:space="preserve">    "nextInstruction":  "No Blue",</v>
      </c>
    </row>
    <row r="3384" spans="1:4" x14ac:dyDescent="0.55000000000000004">
      <c r="A3384" t="s">
        <v>765</v>
      </c>
      <c r="B3384">
        <f>VLOOKUP(B3381,Tabelle3!$A$2:$E$33,4,FALSE)</f>
        <v>-4</v>
      </c>
      <c r="D3384" t="str">
        <f t="shared" ref="D3384:D3447" si="2790">IF(ISNUMBER(B3384),(A3384&amp;B3384),"")</f>
        <v xml:space="preserve">    "damageModifier": -4</v>
      </c>
    </row>
    <row r="3385" spans="1:4" x14ac:dyDescent="0.55000000000000004">
      <c r="A3385" t="s">
        <v>6</v>
      </c>
      <c r="D3385" t="str">
        <f t="shared" ref="D3385:D3448" si="2791">A3385</f>
        <v xml:space="preserve">  },</v>
      </c>
    </row>
    <row r="3386" spans="1:4" x14ac:dyDescent="0.55000000000000004">
      <c r="A3386" t="s">
        <v>574</v>
      </c>
      <c r="D3386" t="str">
        <f t="shared" si="2791"/>
        <v xml:space="preserve">  "48-26": {</v>
      </c>
    </row>
    <row r="3387" spans="1:4" x14ac:dyDescent="0.55000000000000004">
      <c r="A3387" t="s">
        <v>35</v>
      </c>
      <c r="B3387">
        <f t="shared" ref="B3387" si="2792">_xlfn.NUMBERVALUE(RIGHT(A3387,2))</f>
        <v>59</v>
      </c>
      <c r="D3387" t="str">
        <f t="shared" ref="D3387:D3450" si="2793">A3387&amp;","</f>
        <v xml:space="preserve">    "resultPage": 59,</v>
      </c>
    </row>
    <row r="3388" spans="1:4" x14ac:dyDescent="0.55000000000000004">
      <c r="A3388" t="s">
        <v>763</v>
      </c>
      <c r="B3388" t="str">
        <f>VLOOKUP(B3387,Tabelle3!$A$2:$E$33,3,FALSE)</f>
        <v>Pushed off Balance</v>
      </c>
      <c r="C3388" t="s">
        <v>762</v>
      </c>
      <c r="D3388" t="str">
        <f t="shared" ref="D3388:D3449" si="2794">_xlfn.CONCAT(A3388:C3388)</f>
        <v xml:space="preserve">    "message":  "Pushed off Balance",</v>
      </c>
    </row>
    <row r="3389" spans="1:4" x14ac:dyDescent="0.55000000000000004">
      <c r="A3389" t="s">
        <v>764</v>
      </c>
      <c r="B3389" t="str">
        <f>VLOOKUP(B3387,Tabelle3!$A$2:$E$33,5,FALSE)</f>
        <v>Only Green Only Yellow</v>
      </c>
      <c r="C3389" t="s">
        <v>762</v>
      </c>
      <c r="D3389" t="str">
        <f t="shared" si="2794"/>
        <v xml:space="preserve">    "nextInstruction":  "Only Green Only Yellow",</v>
      </c>
    </row>
    <row r="3390" spans="1:4" x14ac:dyDescent="0.55000000000000004">
      <c r="A3390" t="s">
        <v>765</v>
      </c>
      <c r="B3390">
        <f>VLOOKUP(B3387,Tabelle3!$A$2:$E$33,4,FALSE)</f>
        <v>0</v>
      </c>
      <c r="D3390" t="str">
        <f t="shared" ref="D3390:D3453" si="2795">IF(ISNUMBER(B3390),(A3390&amp;B3390),"")</f>
        <v xml:space="preserve">    "damageModifier": 0</v>
      </c>
    </row>
    <row r="3391" spans="1:4" x14ac:dyDescent="0.55000000000000004">
      <c r="A3391" t="s">
        <v>6</v>
      </c>
      <c r="D3391" t="str">
        <f t="shared" ref="D3391:D3454" si="2796">A3391</f>
        <v xml:space="preserve">  },</v>
      </c>
    </row>
    <row r="3392" spans="1:4" x14ac:dyDescent="0.55000000000000004">
      <c r="A3392" t="s">
        <v>575</v>
      </c>
      <c r="D3392" t="str">
        <f t="shared" si="2796"/>
        <v xml:space="preserve">  "48-28": {</v>
      </c>
    </row>
    <row r="3393" spans="1:4" x14ac:dyDescent="0.55000000000000004">
      <c r="A3393" t="s">
        <v>116</v>
      </c>
      <c r="B3393">
        <f t="shared" ref="B3393" si="2797">_xlfn.NUMBERVALUE(RIGHT(A3393,2))</f>
        <v>3</v>
      </c>
      <c r="D3393" t="str">
        <f t="shared" ref="D3393:D3456" si="2798">A3393&amp;","</f>
        <v xml:space="preserve">    "resultPage": 3,</v>
      </c>
    </row>
    <row r="3394" spans="1:4" x14ac:dyDescent="0.55000000000000004">
      <c r="A3394" t="s">
        <v>763</v>
      </c>
      <c r="B3394" t="str">
        <f>VLOOKUP(B3393,Tabelle3!$A$2:$E$33,3,FALSE)</f>
        <v>Swinging High</v>
      </c>
      <c r="C3394" t="s">
        <v>762</v>
      </c>
      <c r="D3394" t="str">
        <f t="shared" ref="D3394" si="2799">_xlfn.CONCAT(A3394:C3394)</f>
        <v xml:space="preserve">    "message":  "Swinging High",</v>
      </c>
    </row>
    <row r="3395" spans="1:4" x14ac:dyDescent="0.55000000000000004">
      <c r="A3395" t="s">
        <v>764</v>
      </c>
      <c r="B3395" t="str">
        <f>VLOOKUP(B3393,Tabelle3!$A$2:$E$33,5,FALSE)</f>
        <v>No Red</v>
      </c>
      <c r="C3395" t="s">
        <v>762</v>
      </c>
      <c r="D3395" t="str">
        <f t="shared" si="2794"/>
        <v xml:space="preserve">    "nextInstruction":  "No Red",</v>
      </c>
    </row>
    <row r="3396" spans="1:4" x14ac:dyDescent="0.55000000000000004">
      <c r="A3396" t="s">
        <v>765</v>
      </c>
      <c r="B3396" t="str">
        <f>VLOOKUP(B3393,Tabelle3!$A$2:$E$33,4,FALSE)</f>
        <v>""</v>
      </c>
      <c r="D3396" t="str">
        <f t="shared" ref="D3396:D3459" si="2800">IF(ISNUMBER(B3396),(A3396&amp;B3396),"")</f>
        <v/>
      </c>
    </row>
    <row r="3397" spans="1:4" x14ac:dyDescent="0.55000000000000004">
      <c r="A3397" t="s">
        <v>6</v>
      </c>
      <c r="D3397" t="str">
        <f t="shared" ref="D3397:D3460" si="2801">A3397</f>
        <v xml:space="preserve">  },</v>
      </c>
    </row>
    <row r="3398" spans="1:4" x14ac:dyDescent="0.55000000000000004">
      <c r="A3398" t="s">
        <v>576</v>
      </c>
      <c r="D3398" t="str">
        <f t="shared" si="2801"/>
        <v xml:space="preserve">  "48-30": {</v>
      </c>
    </row>
    <row r="3399" spans="1:4" x14ac:dyDescent="0.55000000000000004">
      <c r="A3399" t="s">
        <v>116</v>
      </c>
      <c r="B3399">
        <f t="shared" ref="B3399" si="2802">_xlfn.NUMBERVALUE(RIGHT(A3399,2))</f>
        <v>3</v>
      </c>
      <c r="D3399" t="str">
        <f t="shared" ref="D3399:D3462" si="2803">A3399&amp;","</f>
        <v xml:space="preserve">    "resultPage": 3,</v>
      </c>
    </row>
    <row r="3400" spans="1:4" x14ac:dyDescent="0.55000000000000004">
      <c r="A3400" t="s">
        <v>763</v>
      </c>
      <c r="B3400" t="str">
        <f>VLOOKUP(B3399,Tabelle3!$A$2:$E$33,3,FALSE)</f>
        <v>Swinging High</v>
      </c>
      <c r="C3400" t="s">
        <v>762</v>
      </c>
      <c r="D3400" t="str">
        <f t="shared" ref="D3400" si="2804">_xlfn.CONCAT(A3400:C3400)</f>
        <v xml:space="preserve">    "message":  "Swinging High",</v>
      </c>
    </row>
    <row r="3401" spans="1:4" x14ac:dyDescent="0.55000000000000004">
      <c r="A3401" t="s">
        <v>764</v>
      </c>
      <c r="B3401" t="str">
        <f>VLOOKUP(B3399,Tabelle3!$A$2:$E$33,5,FALSE)</f>
        <v>No Red</v>
      </c>
      <c r="C3401" t="s">
        <v>762</v>
      </c>
      <c r="D3401" t="str">
        <f t="shared" si="2794"/>
        <v xml:space="preserve">    "nextInstruction":  "No Red",</v>
      </c>
    </row>
    <row r="3402" spans="1:4" x14ac:dyDescent="0.55000000000000004">
      <c r="A3402" t="s">
        <v>765</v>
      </c>
      <c r="B3402" t="str">
        <f>VLOOKUP(B3399,Tabelle3!$A$2:$E$33,4,FALSE)</f>
        <v>""</v>
      </c>
      <c r="D3402" t="str">
        <f t="shared" ref="D3402:D3465" si="2805">IF(ISNUMBER(B3402),(A3402&amp;B3402),"")</f>
        <v/>
      </c>
    </row>
    <row r="3403" spans="1:4" x14ac:dyDescent="0.55000000000000004">
      <c r="A3403" t="s">
        <v>6</v>
      </c>
      <c r="D3403" t="str">
        <f t="shared" ref="D3403:D3466" si="2806">A3403</f>
        <v xml:space="preserve">  },</v>
      </c>
    </row>
    <row r="3404" spans="1:4" x14ac:dyDescent="0.55000000000000004">
      <c r="A3404" t="s">
        <v>577</v>
      </c>
      <c r="D3404" t="str">
        <f t="shared" si="2806"/>
        <v xml:space="preserve">  "48-32": {</v>
      </c>
    </row>
    <row r="3405" spans="1:4" x14ac:dyDescent="0.55000000000000004">
      <c r="A3405" t="s">
        <v>63</v>
      </c>
      <c r="B3405">
        <f t="shared" ref="B3405" si="2807">_xlfn.NUMBERVALUE(RIGHT(A3405,2))</f>
        <v>17</v>
      </c>
      <c r="D3405" t="str">
        <f t="shared" ref="D3405:D3468" si="2808">A3405&amp;","</f>
        <v xml:space="preserve">    "resultPage": 17,</v>
      </c>
    </row>
    <row r="3406" spans="1:4" x14ac:dyDescent="0.55000000000000004">
      <c r="A3406" t="s">
        <v>763</v>
      </c>
      <c r="B3406" t="str">
        <f>VLOOKUP(B3405,Tabelle3!$A$2:$E$33,3,FALSE)</f>
        <v>Blocking High</v>
      </c>
      <c r="C3406" t="s">
        <v>762</v>
      </c>
      <c r="D3406" t="str">
        <f t="shared" ref="D3406" si="2809">_xlfn.CONCAT(A3406:C3406)</f>
        <v xml:space="preserve">    "message":  "Blocking High",</v>
      </c>
    </row>
    <row r="3407" spans="1:4" x14ac:dyDescent="0.55000000000000004">
      <c r="A3407" t="s">
        <v>764</v>
      </c>
      <c r="B3407" t="str">
        <f>VLOOKUP(B3405,Tabelle3!$A$2:$E$33,5,FALSE)</f>
        <v>No Blue</v>
      </c>
      <c r="C3407" t="s">
        <v>762</v>
      </c>
      <c r="D3407" t="str">
        <f t="shared" si="2794"/>
        <v xml:space="preserve">    "nextInstruction":  "No Blue",</v>
      </c>
    </row>
    <row r="3408" spans="1:4" x14ac:dyDescent="0.55000000000000004">
      <c r="A3408" t="s">
        <v>765</v>
      </c>
      <c r="B3408">
        <f>VLOOKUP(B3405,Tabelle3!$A$2:$E$33,4,FALSE)</f>
        <v>-4</v>
      </c>
      <c r="D3408" t="str">
        <f t="shared" ref="D3408:D3471" si="2810">IF(ISNUMBER(B3408),(A3408&amp;B3408),"")</f>
        <v xml:space="preserve">    "damageModifier": -4</v>
      </c>
    </row>
    <row r="3409" spans="1:4" x14ac:dyDescent="0.55000000000000004">
      <c r="A3409" t="s">
        <v>6</v>
      </c>
      <c r="D3409" t="str">
        <f t="shared" ref="D3409:D3472" si="2811">A3409</f>
        <v xml:space="preserve">  },</v>
      </c>
    </row>
    <row r="3410" spans="1:4" x14ac:dyDescent="0.55000000000000004">
      <c r="A3410" t="s">
        <v>578</v>
      </c>
      <c r="D3410" t="str">
        <f t="shared" si="2811"/>
        <v xml:space="preserve">  "48-34": {</v>
      </c>
    </row>
    <row r="3411" spans="1:4" x14ac:dyDescent="0.55000000000000004">
      <c r="A3411" t="s">
        <v>133</v>
      </c>
      <c r="B3411">
        <f t="shared" ref="B3411" si="2812">_xlfn.NUMBERVALUE(RIGHT(A3411,2))</f>
        <v>51</v>
      </c>
      <c r="D3411" t="str">
        <f t="shared" ref="D3411:D3474" si="2813">A3411&amp;","</f>
        <v xml:space="preserve">    "resultPage": 51,</v>
      </c>
    </row>
    <row r="3412" spans="1:4" x14ac:dyDescent="0.55000000000000004">
      <c r="A3412" t="s">
        <v>763</v>
      </c>
      <c r="B3412" t="str">
        <f>VLOOKUP(B3411,Tabelle3!$A$2:$E$33,3,FALSE)</f>
        <v>Kicked Off Balance</v>
      </c>
      <c r="C3412" t="s">
        <v>762</v>
      </c>
      <c r="D3412" t="str">
        <f t="shared" ref="D3412" si="2814">_xlfn.CONCAT(A3412:C3412)</f>
        <v xml:space="preserve">    "message":  "Kicked Off Balance",</v>
      </c>
    </row>
    <row r="3413" spans="1:4" x14ac:dyDescent="0.55000000000000004">
      <c r="A3413" t="s">
        <v>764</v>
      </c>
      <c r="B3413" t="str">
        <f>VLOOKUP(B3411,Tabelle3!$A$2:$E$33,5,FALSE)</f>
        <v>Only Green Only Yellow</v>
      </c>
      <c r="C3413" t="s">
        <v>762</v>
      </c>
      <c r="D3413" t="str">
        <f t="shared" si="2794"/>
        <v xml:space="preserve">    "nextInstruction":  "Only Green Only Yellow",</v>
      </c>
    </row>
    <row r="3414" spans="1:4" x14ac:dyDescent="0.55000000000000004">
      <c r="A3414" t="s">
        <v>765</v>
      </c>
      <c r="B3414">
        <f>VLOOKUP(B3411,Tabelle3!$A$2:$E$33,4,FALSE)</f>
        <v>0</v>
      </c>
      <c r="D3414" t="str">
        <f t="shared" ref="D3414:D3477" si="2815">IF(ISNUMBER(B3414),(A3414&amp;B3414),"")</f>
        <v xml:space="preserve">    "damageModifier": 0</v>
      </c>
    </row>
    <row r="3415" spans="1:4" x14ac:dyDescent="0.55000000000000004">
      <c r="A3415" t="s">
        <v>6</v>
      </c>
      <c r="D3415" t="str">
        <f t="shared" ref="D3415:D3478" si="2816">A3415</f>
        <v xml:space="preserve">  },</v>
      </c>
    </row>
    <row r="3416" spans="1:4" x14ac:dyDescent="0.55000000000000004">
      <c r="A3416" t="s">
        <v>579</v>
      </c>
      <c r="D3416" t="str">
        <f t="shared" si="2816"/>
        <v xml:space="preserve">  "48-36": {</v>
      </c>
    </row>
    <row r="3417" spans="1:4" x14ac:dyDescent="0.55000000000000004">
      <c r="A3417" t="s">
        <v>82</v>
      </c>
      <c r="B3417">
        <f t="shared" ref="B3417" si="2817">_xlfn.NUMBERVALUE(RIGHT(A3417,2))</f>
        <v>55</v>
      </c>
      <c r="D3417" t="str">
        <f t="shared" ref="D3417:D3480" si="2818">A3417&amp;","</f>
        <v xml:space="preserve">    "resultPage": 55,</v>
      </c>
    </row>
    <row r="3418" spans="1:4" x14ac:dyDescent="0.55000000000000004">
      <c r="A3418" t="s">
        <v>763</v>
      </c>
      <c r="B3418" t="str">
        <f>VLOOKUP(B3417,Tabelle3!$A$2:$E$33,3,FALSE)</f>
        <v>Shield Smahed</v>
      </c>
      <c r="C3418" t="s">
        <v>762</v>
      </c>
      <c r="D3418" t="str">
        <f t="shared" ref="D3418" si="2819">_xlfn.CONCAT(A3418:C3418)</f>
        <v xml:space="preserve">    "message":  "Shield Smahed",</v>
      </c>
    </row>
    <row r="3419" spans="1:4" x14ac:dyDescent="0.55000000000000004">
      <c r="A3419" t="s">
        <v>764</v>
      </c>
      <c r="B3419" t="str">
        <f>VLOOKUP(B3417,Tabelle3!$A$2:$E$33,5,FALSE)</f>
        <v>No Blocks for the rest of the game No Protected Attacks for the rest of the game</v>
      </c>
      <c r="C3419" t="s">
        <v>762</v>
      </c>
      <c r="D3419" t="str">
        <f t="shared" si="2794"/>
        <v xml:space="preserve">    "nextInstruction":  "No Blocks for the rest of the game No Protected Attacks for the rest of the game",</v>
      </c>
    </row>
    <row r="3420" spans="1:4" x14ac:dyDescent="0.55000000000000004">
      <c r="A3420" t="s">
        <v>765</v>
      </c>
      <c r="B3420">
        <f>VLOOKUP(B3417,Tabelle3!$A$2:$E$33,4,FALSE)</f>
        <v>0</v>
      </c>
      <c r="D3420" t="str">
        <f t="shared" ref="D3420:D3483" si="2820">IF(ISNUMBER(B3420),(A3420&amp;B3420),"")</f>
        <v xml:space="preserve">    "damageModifier": 0</v>
      </c>
    </row>
    <row r="3421" spans="1:4" x14ac:dyDescent="0.55000000000000004">
      <c r="A3421" t="s">
        <v>6</v>
      </c>
      <c r="D3421" t="str">
        <f t="shared" ref="D3421:D3484" si="2821">A3421</f>
        <v xml:space="preserve">  },</v>
      </c>
    </row>
    <row r="3422" spans="1:4" x14ac:dyDescent="0.55000000000000004">
      <c r="A3422" t="s">
        <v>580</v>
      </c>
      <c r="D3422" t="str">
        <f t="shared" si="2821"/>
        <v xml:space="preserve">  "48-38": {</v>
      </c>
    </row>
    <row r="3423" spans="1:4" x14ac:dyDescent="0.55000000000000004">
      <c r="A3423" t="s">
        <v>76</v>
      </c>
      <c r="B3423">
        <f t="shared" ref="B3423" si="2822">_xlfn.NUMBERVALUE(RIGHT(A3423,2))</f>
        <v>45</v>
      </c>
      <c r="D3423" t="str">
        <f t="shared" ref="D3423:D3486" si="2823">A3423&amp;","</f>
        <v xml:space="preserve">    "resultPage": 45,</v>
      </c>
    </row>
    <row r="3424" spans="1:4" x14ac:dyDescent="0.55000000000000004">
      <c r="A3424" t="s">
        <v>763</v>
      </c>
      <c r="B3424" t="str">
        <f>VLOOKUP(B3423,Tabelle3!$A$2:$E$33,3,FALSE)</f>
        <v>Parrying High</v>
      </c>
      <c r="C3424" t="s">
        <v>762</v>
      </c>
      <c r="D3424" t="str">
        <f t="shared" ref="D3424" si="2824">_xlfn.CONCAT(A3424:C3424)</f>
        <v xml:space="preserve">    "message":  "Parrying High",</v>
      </c>
    </row>
    <row r="3425" spans="1:4" x14ac:dyDescent="0.55000000000000004">
      <c r="A3425" t="s">
        <v>764</v>
      </c>
      <c r="B3425" t="str">
        <f>VLOOKUP(B3423,Tabelle3!$A$2:$E$33,5,FALSE)</f>
        <v/>
      </c>
      <c r="C3425" t="s">
        <v>762</v>
      </c>
      <c r="D3425" t="str">
        <f t="shared" si="2794"/>
        <v xml:space="preserve">    "nextInstruction":  "",</v>
      </c>
    </row>
    <row r="3426" spans="1:4" x14ac:dyDescent="0.55000000000000004">
      <c r="A3426" t="s">
        <v>765</v>
      </c>
      <c r="B3426">
        <f>VLOOKUP(B3423,Tabelle3!$A$2:$E$33,4,FALSE)</f>
        <v>-4</v>
      </c>
      <c r="D3426" t="str">
        <f t="shared" ref="D3426:D3489" si="2825">IF(ISNUMBER(B3426),(A3426&amp;B3426),"")</f>
        <v xml:space="preserve">    "damageModifier": -4</v>
      </c>
    </row>
    <row r="3427" spans="1:4" x14ac:dyDescent="0.55000000000000004">
      <c r="A3427" t="s">
        <v>6</v>
      </c>
      <c r="D3427" t="str">
        <f t="shared" ref="D3427:D3490" si="2826">A3427</f>
        <v xml:space="preserve">  },</v>
      </c>
    </row>
    <row r="3428" spans="1:4" x14ac:dyDescent="0.55000000000000004">
      <c r="A3428" t="s">
        <v>581</v>
      </c>
      <c r="D3428" t="str">
        <f t="shared" si="2826"/>
        <v xml:space="preserve">  "48-40": {</v>
      </c>
    </row>
    <row r="3429" spans="1:4" x14ac:dyDescent="0.55000000000000004">
      <c r="A3429" t="s">
        <v>5</v>
      </c>
      <c r="B3429">
        <f t="shared" ref="B3429" si="2827">_xlfn.NUMBERVALUE(RIGHT(A3429,2))</f>
        <v>5</v>
      </c>
      <c r="D3429" t="str">
        <f t="shared" ref="D3429:D3492" si="2828">A3429&amp;","</f>
        <v xml:space="preserve">    "resultPage": 5,</v>
      </c>
    </row>
    <row r="3430" spans="1:4" x14ac:dyDescent="0.55000000000000004">
      <c r="A3430" t="s">
        <v>763</v>
      </c>
      <c r="B3430" t="str">
        <f>VLOOKUP(B3429,Tabelle3!$A$2:$E$33,3,FALSE)</f>
        <v>Swinging Low</v>
      </c>
      <c r="C3430" t="s">
        <v>762</v>
      </c>
      <c r="D3430" t="str">
        <f t="shared" ref="D3430" si="2829">_xlfn.CONCAT(A3430:C3430)</f>
        <v xml:space="preserve">    "message":  "Swinging Low",</v>
      </c>
    </row>
    <row r="3431" spans="1:4" x14ac:dyDescent="0.55000000000000004">
      <c r="A3431" t="s">
        <v>764</v>
      </c>
      <c r="B3431" t="str">
        <f>VLOOKUP(B3429,Tabelle3!$A$2:$E$33,5,FALSE)</f>
        <v>No Blue</v>
      </c>
      <c r="C3431" t="s">
        <v>762</v>
      </c>
      <c r="D3431" t="str">
        <f t="shared" si="2794"/>
        <v xml:space="preserve">    "nextInstruction":  "No Blue",</v>
      </c>
    </row>
    <row r="3432" spans="1:4" x14ac:dyDescent="0.55000000000000004">
      <c r="A3432" t="s">
        <v>765</v>
      </c>
      <c r="B3432" t="str">
        <f>VLOOKUP(B3429,Tabelle3!$A$2:$E$33,4,FALSE)</f>
        <v>""</v>
      </c>
      <c r="D3432" t="str">
        <f t="shared" ref="D3432:D3495" si="2830">IF(ISNUMBER(B3432),(A3432&amp;B3432),"")</f>
        <v/>
      </c>
    </row>
    <row r="3433" spans="1:4" x14ac:dyDescent="0.55000000000000004">
      <c r="A3433" t="s">
        <v>6</v>
      </c>
      <c r="D3433" t="str">
        <f t="shared" ref="D3433:D3496" si="2831">A3433</f>
        <v xml:space="preserve">  },</v>
      </c>
    </row>
    <row r="3434" spans="1:4" x14ac:dyDescent="0.55000000000000004">
      <c r="A3434" t="s">
        <v>582</v>
      </c>
      <c r="D3434" t="str">
        <f t="shared" si="2831"/>
        <v xml:space="preserve">  "48-42": {</v>
      </c>
    </row>
    <row r="3435" spans="1:4" x14ac:dyDescent="0.55000000000000004">
      <c r="A3435" t="s">
        <v>13</v>
      </c>
      <c r="B3435">
        <f t="shared" ref="B3435" si="2832">_xlfn.NUMBERVALUE(RIGHT(A3435,2))</f>
        <v>49</v>
      </c>
      <c r="D3435" t="str">
        <f t="shared" ref="D3435:D3498" si="2833">A3435&amp;","</f>
        <v xml:space="preserve">    "resultPage": 49,</v>
      </c>
    </row>
    <row r="3436" spans="1:4" x14ac:dyDescent="0.55000000000000004">
      <c r="A3436" t="s">
        <v>763</v>
      </c>
      <c r="B3436" t="str">
        <f>VLOOKUP(B3435,Tabelle3!$A$2:$E$33,3,FALSE)</f>
        <v>Parrying Low</v>
      </c>
      <c r="C3436" t="s">
        <v>762</v>
      </c>
      <c r="D3436" t="str">
        <f t="shared" ref="D3436" si="2834">_xlfn.CONCAT(A3436:C3436)</f>
        <v xml:space="preserve">    "message":  "Parrying Low",</v>
      </c>
    </row>
    <row r="3437" spans="1:4" x14ac:dyDescent="0.55000000000000004">
      <c r="A3437" t="s">
        <v>764</v>
      </c>
      <c r="B3437" t="str">
        <f>VLOOKUP(B3435,Tabelle3!$A$2:$E$33,5,FALSE)</f>
        <v/>
      </c>
      <c r="C3437" t="s">
        <v>762</v>
      </c>
      <c r="D3437" t="str">
        <f t="shared" si="2794"/>
        <v xml:space="preserve">    "nextInstruction":  "",</v>
      </c>
    </row>
    <row r="3438" spans="1:4" x14ac:dyDescent="0.55000000000000004">
      <c r="A3438" t="s">
        <v>765</v>
      </c>
      <c r="B3438">
        <f>VLOOKUP(B3435,Tabelle3!$A$2:$E$33,4,FALSE)</f>
        <v>-4</v>
      </c>
      <c r="D3438" t="str">
        <f t="shared" ref="D3438:D3501" si="2835">IF(ISNUMBER(B3438),(A3438&amp;B3438),"")</f>
        <v xml:space="preserve">    "damageModifier": -4</v>
      </c>
    </row>
    <row r="3439" spans="1:4" x14ac:dyDescent="0.55000000000000004">
      <c r="A3439" t="s">
        <v>6</v>
      </c>
      <c r="D3439" t="str">
        <f t="shared" ref="D3439:D3502" si="2836">A3439</f>
        <v xml:space="preserve">  },</v>
      </c>
    </row>
    <row r="3440" spans="1:4" x14ac:dyDescent="0.55000000000000004">
      <c r="A3440" t="s">
        <v>583</v>
      </c>
      <c r="D3440" t="str">
        <f t="shared" si="2836"/>
        <v xml:space="preserve">  "48-44": {</v>
      </c>
    </row>
    <row r="3441" spans="1:4" x14ac:dyDescent="0.55000000000000004">
      <c r="A3441" t="s">
        <v>76</v>
      </c>
      <c r="B3441">
        <f t="shared" ref="B3441" si="2837">_xlfn.NUMBERVALUE(RIGHT(A3441,2))</f>
        <v>45</v>
      </c>
      <c r="D3441" t="str">
        <f t="shared" ref="D3441:D3504" si="2838">A3441&amp;","</f>
        <v xml:space="preserve">    "resultPage": 45,</v>
      </c>
    </row>
    <row r="3442" spans="1:4" x14ac:dyDescent="0.55000000000000004">
      <c r="A3442" t="s">
        <v>763</v>
      </c>
      <c r="B3442" t="str">
        <f>VLOOKUP(B3441,Tabelle3!$A$2:$E$33,3,FALSE)</f>
        <v>Parrying High</v>
      </c>
      <c r="C3442" t="s">
        <v>762</v>
      </c>
      <c r="D3442" t="str">
        <f t="shared" ref="D3442" si="2839">_xlfn.CONCAT(A3442:C3442)</f>
        <v xml:space="preserve">    "message":  "Parrying High",</v>
      </c>
    </row>
    <row r="3443" spans="1:4" x14ac:dyDescent="0.55000000000000004">
      <c r="A3443" t="s">
        <v>764</v>
      </c>
      <c r="B3443" t="str">
        <f>VLOOKUP(B3441,Tabelle3!$A$2:$E$33,5,FALSE)</f>
        <v/>
      </c>
      <c r="C3443" t="s">
        <v>762</v>
      </c>
      <c r="D3443" t="str">
        <f t="shared" si="2794"/>
        <v xml:space="preserve">    "nextInstruction":  "",</v>
      </c>
    </row>
    <row r="3444" spans="1:4" x14ac:dyDescent="0.55000000000000004">
      <c r="A3444" t="s">
        <v>765</v>
      </c>
      <c r="B3444">
        <f>VLOOKUP(B3441,Tabelle3!$A$2:$E$33,4,FALSE)</f>
        <v>-4</v>
      </c>
      <c r="D3444" t="str">
        <f t="shared" ref="D3444:D3507" si="2840">IF(ISNUMBER(B3444),(A3444&amp;B3444),"")</f>
        <v xml:space="preserve">    "damageModifier": -4</v>
      </c>
    </row>
    <row r="3445" spans="1:4" x14ac:dyDescent="0.55000000000000004">
      <c r="A3445" t="s">
        <v>6</v>
      </c>
      <c r="D3445" t="str">
        <f t="shared" ref="D3445:D3508" si="2841">A3445</f>
        <v xml:space="preserve">  },</v>
      </c>
    </row>
    <row r="3446" spans="1:4" x14ac:dyDescent="0.55000000000000004">
      <c r="A3446" t="s">
        <v>584</v>
      </c>
      <c r="D3446" t="str">
        <f t="shared" si="2841"/>
        <v xml:space="preserve">  "48-46": {</v>
      </c>
    </row>
    <row r="3447" spans="1:4" x14ac:dyDescent="0.55000000000000004">
      <c r="A3447" t="s">
        <v>116</v>
      </c>
      <c r="B3447">
        <f t="shared" ref="B3447" si="2842">_xlfn.NUMBERVALUE(RIGHT(A3447,2))</f>
        <v>3</v>
      </c>
      <c r="D3447" t="str">
        <f t="shared" ref="D3447:D3510" si="2843">A3447&amp;","</f>
        <v xml:space="preserve">    "resultPage": 3,</v>
      </c>
    </row>
    <row r="3448" spans="1:4" x14ac:dyDescent="0.55000000000000004">
      <c r="A3448" t="s">
        <v>763</v>
      </c>
      <c r="B3448" t="str">
        <f>VLOOKUP(B3447,Tabelle3!$A$2:$E$33,3,FALSE)</f>
        <v>Swinging High</v>
      </c>
      <c r="C3448" t="s">
        <v>762</v>
      </c>
      <c r="D3448" t="str">
        <f t="shared" ref="D3448" si="2844">_xlfn.CONCAT(A3448:C3448)</f>
        <v xml:space="preserve">    "message":  "Swinging High",</v>
      </c>
    </row>
    <row r="3449" spans="1:4" x14ac:dyDescent="0.55000000000000004">
      <c r="A3449" t="s">
        <v>764</v>
      </c>
      <c r="B3449" t="str">
        <f>VLOOKUP(B3447,Tabelle3!$A$2:$E$33,5,FALSE)</f>
        <v>No Red</v>
      </c>
      <c r="C3449" t="s">
        <v>762</v>
      </c>
      <c r="D3449" t="str">
        <f t="shared" si="2794"/>
        <v xml:space="preserve">    "nextInstruction":  "No Red",</v>
      </c>
    </row>
    <row r="3450" spans="1:4" x14ac:dyDescent="0.55000000000000004">
      <c r="A3450" t="s">
        <v>765</v>
      </c>
      <c r="B3450" t="str">
        <f>VLOOKUP(B3447,Tabelle3!$A$2:$E$33,4,FALSE)</f>
        <v>""</v>
      </c>
      <c r="D3450" t="str">
        <f t="shared" ref="D3450:D3513" si="2845">IF(ISNUMBER(B3450),(A3450&amp;B3450),"")</f>
        <v/>
      </c>
    </row>
    <row r="3451" spans="1:4" x14ac:dyDescent="0.55000000000000004">
      <c r="A3451" t="s">
        <v>6</v>
      </c>
      <c r="D3451" t="str">
        <f t="shared" ref="D3451:D3514" si="2846">A3451</f>
        <v xml:space="preserve">  },</v>
      </c>
    </row>
    <row r="3452" spans="1:4" x14ac:dyDescent="0.55000000000000004">
      <c r="A3452" t="s">
        <v>585</v>
      </c>
      <c r="D3452" t="str">
        <f t="shared" si="2846"/>
        <v xml:space="preserve">  "48-48": {</v>
      </c>
    </row>
    <row r="3453" spans="1:4" x14ac:dyDescent="0.55000000000000004">
      <c r="A3453" t="s">
        <v>13</v>
      </c>
      <c r="B3453">
        <f t="shared" ref="B3453" si="2847">_xlfn.NUMBERVALUE(RIGHT(A3453,2))</f>
        <v>49</v>
      </c>
      <c r="D3453" t="str">
        <f t="shared" ref="D3453:D3516" si="2848">A3453&amp;","</f>
        <v xml:space="preserve">    "resultPage": 49,</v>
      </c>
    </row>
    <row r="3454" spans="1:4" x14ac:dyDescent="0.55000000000000004">
      <c r="A3454" t="s">
        <v>763</v>
      </c>
      <c r="B3454" t="str">
        <f>VLOOKUP(B3453,Tabelle3!$A$2:$E$33,3,FALSE)</f>
        <v>Parrying Low</v>
      </c>
      <c r="C3454" t="s">
        <v>762</v>
      </c>
      <c r="D3454" t="str">
        <f t="shared" ref="D3454:D3515" si="2849">_xlfn.CONCAT(A3454:C3454)</f>
        <v xml:space="preserve">    "message":  "Parrying Low",</v>
      </c>
    </row>
    <row r="3455" spans="1:4" x14ac:dyDescent="0.55000000000000004">
      <c r="A3455" t="s">
        <v>764</v>
      </c>
      <c r="B3455" t="str">
        <f>VLOOKUP(B3453,Tabelle3!$A$2:$E$33,5,FALSE)</f>
        <v/>
      </c>
      <c r="C3455" t="s">
        <v>762</v>
      </c>
      <c r="D3455" t="str">
        <f t="shared" si="2849"/>
        <v xml:space="preserve">    "nextInstruction":  "",</v>
      </c>
    </row>
    <row r="3456" spans="1:4" x14ac:dyDescent="0.55000000000000004">
      <c r="A3456" t="s">
        <v>765</v>
      </c>
      <c r="B3456">
        <f>VLOOKUP(B3453,Tabelle3!$A$2:$E$33,4,FALSE)</f>
        <v>-4</v>
      </c>
      <c r="D3456" t="str">
        <f t="shared" ref="D3456:D3519" si="2850">IF(ISNUMBER(B3456),(A3456&amp;B3456),"")</f>
        <v xml:space="preserve">    "damageModifier": -4</v>
      </c>
    </row>
    <row r="3457" spans="1:4" x14ac:dyDescent="0.55000000000000004">
      <c r="A3457" t="s">
        <v>6</v>
      </c>
      <c r="D3457" t="str">
        <f t="shared" ref="D3457:D3520" si="2851">A3457</f>
        <v xml:space="preserve">  },</v>
      </c>
    </row>
    <row r="3458" spans="1:4" x14ac:dyDescent="0.55000000000000004">
      <c r="A3458" t="s">
        <v>586</v>
      </c>
      <c r="D3458" t="str">
        <f t="shared" si="2851"/>
        <v xml:space="preserve">  "50-50": {</v>
      </c>
    </row>
    <row r="3459" spans="1:4" x14ac:dyDescent="0.55000000000000004">
      <c r="A3459" t="s">
        <v>76</v>
      </c>
      <c r="B3459">
        <f t="shared" ref="B3459" si="2852">_xlfn.NUMBERVALUE(RIGHT(A3459,2))</f>
        <v>45</v>
      </c>
      <c r="D3459" t="str">
        <f t="shared" ref="D3459:D3522" si="2853">A3459&amp;","</f>
        <v xml:space="preserve">    "resultPage": 45,</v>
      </c>
    </row>
    <row r="3460" spans="1:4" x14ac:dyDescent="0.55000000000000004">
      <c r="A3460" t="s">
        <v>763</v>
      </c>
      <c r="B3460" t="str">
        <f>VLOOKUP(B3459,Tabelle3!$A$2:$E$33,3,FALSE)</f>
        <v>Parrying High</v>
      </c>
      <c r="C3460" t="s">
        <v>762</v>
      </c>
      <c r="D3460" t="str">
        <f t="shared" ref="D3460" si="2854">_xlfn.CONCAT(A3460:C3460)</f>
        <v xml:space="preserve">    "message":  "Parrying High",</v>
      </c>
    </row>
    <row r="3461" spans="1:4" x14ac:dyDescent="0.55000000000000004">
      <c r="A3461" t="s">
        <v>764</v>
      </c>
      <c r="B3461" t="str">
        <f>VLOOKUP(B3459,Tabelle3!$A$2:$E$33,5,FALSE)</f>
        <v/>
      </c>
      <c r="C3461" t="s">
        <v>762</v>
      </c>
      <c r="D3461" t="str">
        <f t="shared" si="2849"/>
        <v xml:space="preserve">    "nextInstruction":  "",</v>
      </c>
    </row>
    <row r="3462" spans="1:4" x14ac:dyDescent="0.55000000000000004">
      <c r="A3462" t="s">
        <v>765</v>
      </c>
      <c r="B3462">
        <f>VLOOKUP(B3459,Tabelle3!$A$2:$E$33,4,FALSE)</f>
        <v>-4</v>
      </c>
      <c r="D3462" t="str">
        <f t="shared" ref="D3462:D3525" si="2855">IF(ISNUMBER(B3462),(A3462&amp;B3462),"")</f>
        <v xml:space="preserve">    "damageModifier": -4</v>
      </c>
    </row>
    <row r="3463" spans="1:4" x14ac:dyDescent="0.55000000000000004">
      <c r="A3463" t="s">
        <v>6</v>
      </c>
      <c r="D3463" t="str">
        <f t="shared" ref="D3463:D3526" si="2856">A3463</f>
        <v xml:space="preserve">  },</v>
      </c>
    </row>
    <row r="3464" spans="1:4" x14ac:dyDescent="0.55000000000000004">
      <c r="A3464" t="s">
        <v>587</v>
      </c>
      <c r="D3464" t="str">
        <f t="shared" si="2856"/>
        <v xml:space="preserve">  "50-52": {</v>
      </c>
    </row>
    <row r="3465" spans="1:4" x14ac:dyDescent="0.55000000000000004">
      <c r="A3465" t="s">
        <v>125</v>
      </c>
      <c r="B3465">
        <f t="shared" ref="B3465" si="2857">_xlfn.NUMBERVALUE(RIGHT(A3465,2))</f>
        <v>21</v>
      </c>
      <c r="D3465" t="str">
        <f t="shared" ref="D3465:D3528" si="2858">A3465&amp;","</f>
        <v xml:space="preserve">    "resultPage": 21,</v>
      </c>
    </row>
    <row r="3466" spans="1:4" x14ac:dyDescent="0.55000000000000004">
      <c r="A3466" t="s">
        <v>763</v>
      </c>
      <c r="B3466" t="str">
        <f>VLOOKUP(B3465,Tabelle3!$A$2:$E$33,3,FALSE)</f>
        <v>Turned Around</v>
      </c>
      <c r="C3466" t="s">
        <v>762</v>
      </c>
      <c r="D3466" t="str">
        <f t="shared" ref="D3466" si="2859">_xlfn.CONCAT(A3466:C3466)</f>
        <v xml:space="preserve">    "message":  "Turned Around",</v>
      </c>
    </row>
    <row r="3467" spans="1:4" x14ac:dyDescent="0.55000000000000004">
      <c r="A3467" t="s">
        <v>764</v>
      </c>
      <c r="B3467" t="str">
        <f>VLOOKUP(B3465,Tabelle3!$A$2:$E$33,5,FALSE)</f>
        <v>Only Yellow</v>
      </c>
      <c r="C3467" t="s">
        <v>762</v>
      </c>
      <c r="D3467" t="str">
        <f t="shared" si="2849"/>
        <v xml:space="preserve">    "nextInstruction":  "Only Yellow",</v>
      </c>
    </row>
    <row r="3468" spans="1:4" x14ac:dyDescent="0.55000000000000004">
      <c r="A3468" t="s">
        <v>765</v>
      </c>
      <c r="B3468">
        <f>VLOOKUP(B3465,Tabelle3!$A$2:$E$33,4,FALSE)</f>
        <v>0</v>
      </c>
      <c r="D3468" t="str">
        <f t="shared" ref="D3468:D3531" si="2860">IF(ISNUMBER(B3468),(A3468&amp;B3468),"")</f>
        <v xml:space="preserve">    "damageModifier": 0</v>
      </c>
    </row>
    <row r="3469" spans="1:4" x14ac:dyDescent="0.55000000000000004">
      <c r="A3469" t="s">
        <v>6</v>
      </c>
      <c r="D3469" t="str">
        <f t="shared" ref="D3469:D3532" si="2861">A3469</f>
        <v xml:space="preserve">  },</v>
      </c>
    </row>
    <row r="3470" spans="1:4" x14ac:dyDescent="0.55000000000000004">
      <c r="A3470" t="s">
        <v>588</v>
      </c>
      <c r="D3470" t="str">
        <f t="shared" si="2861"/>
        <v xml:space="preserve">  "50-54": {</v>
      </c>
    </row>
    <row r="3471" spans="1:4" x14ac:dyDescent="0.55000000000000004">
      <c r="A3471" t="s">
        <v>20</v>
      </c>
      <c r="B3471">
        <f t="shared" ref="B3471" si="2862">_xlfn.NUMBERVALUE(RIGHT(A3471,2))</f>
        <v>53</v>
      </c>
      <c r="D3471" t="str">
        <f t="shared" ref="D3471:D3534" si="2863">A3471&amp;","</f>
        <v xml:space="preserve">    "resultPage": 53,</v>
      </c>
    </row>
    <row r="3472" spans="1:4" x14ac:dyDescent="0.55000000000000004">
      <c r="A3472" t="s">
        <v>763</v>
      </c>
      <c r="B3472" t="str">
        <f>VLOOKUP(B3471,Tabelle3!$A$2:$E$33,3,FALSE)</f>
        <v>Body Wound</v>
      </c>
      <c r="C3472" t="s">
        <v>762</v>
      </c>
      <c r="D3472" t="str">
        <f t="shared" ref="D3472" si="2864">_xlfn.CONCAT(A3472:C3472)</f>
        <v xml:space="preserve">    "message":  "Body Wound",</v>
      </c>
    </row>
    <row r="3473" spans="1:4" x14ac:dyDescent="0.55000000000000004">
      <c r="A3473" t="s">
        <v>764</v>
      </c>
      <c r="B3473" t="str">
        <f>VLOOKUP(B3471,Tabelle3!$A$2:$E$33,5,FALSE)</f>
        <v>No Red No Orange</v>
      </c>
      <c r="C3473" t="s">
        <v>762</v>
      </c>
      <c r="D3473" t="str">
        <f t="shared" si="2849"/>
        <v xml:space="preserve">    "nextInstruction":  "No Red No Orange",</v>
      </c>
    </row>
    <row r="3474" spans="1:4" x14ac:dyDescent="0.55000000000000004">
      <c r="A3474" t="s">
        <v>765</v>
      </c>
      <c r="B3474">
        <f>VLOOKUP(B3471,Tabelle3!$A$2:$E$33,4,FALSE)</f>
        <v>5</v>
      </c>
      <c r="D3474" t="str">
        <f t="shared" ref="D3474:D3537" si="2865">IF(ISNUMBER(B3474),(A3474&amp;B3474),"")</f>
        <v xml:space="preserve">    "damageModifier": 5</v>
      </c>
    </row>
    <row r="3475" spans="1:4" x14ac:dyDescent="0.55000000000000004">
      <c r="A3475" t="s">
        <v>6</v>
      </c>
      <c r="D3475" t="str">
        <f t="shared" ref="D3475:D3538" si="2866">A3475</f>
        <v xml:space="preserve">  },</v>
      </c>
    </row>
    <row r="3476" spans="1:4" x14ac:dyDescent="0.55000000000000004">
      <c r="A3476" t="s">
        <v>589</v>
      </c>
      <c r="D3476" t="str">
        <f t="shared" si="2866"/>
        <v xml:space="preserve">  "50-56": {</v>
      </c>
    </row>
    <row r="3477" spans="1:4" x14ac:dyDescent="0.55000000000000004">
      <c r="A3477" t="s">
        <v>590</v>
      </c>
      <c r="B3477">
        <f t="shared" ref="B3477" si="2867">_xlfn.NUMBERVALUE(RIGHT(A3477,2))</f>
        <v>39</v>
      </c>
      <c r="D3477" t="str">
        <f t="shared" ref="D3477:D3540" si="2868">A3477&amp;","</f>
        <v xml:space="preserve">    "resultPage": 39,</v>
      </c>
    </row>
    <row r="3478" spans="1:4" x14ac:dyDescent="0.55000000000000004">
      <c r="A3478" t="s">
        <v>763</v>
      </c>
      <c r="B3478" t="str">
        <f>VLOOKUP(B3477,Tabelle3!$A$2:$E$33,3,FALSE)</f>
        <v>Charging</v>
      </c>
      <c r="C3478" t="s">
        <v>762</v>
      </c>
      <c r="D3478" t="str">
        <f t="shared" ref="D3478" si="2869">_xlfn.CONCAT(A3478:C3478)</f>
        <v xml:space="preserve">    "message":  "Charging",</v>
      </c>
    </row>
    <row r="3479" spans="1:4" x14ac:dyDescent="0.55000000000000004">
      <c r="A3479" t="s">
        <v>764</v>
      </c>
      <c r="B3479" t="str">
        <f>VLOOKUP(B3477,Tabelle3!$A$2:$E$33,5,FALSE)</f>
        <v>No Yellow</v>
      </c>
      <c r="C3479" t="s">
        <v>762</v>
      </c>
      <c r="D3479" t="str">
        <f t="shared" si="2849"/>
        <v xml:space="preserve">    "nextInstruction":  "No Yellow",</v>
      </c>
    </row>
    <row r="3480" spans="1:4" x14ac:dyDescent="0.55000000000000004">
      <c r="A3480" t="s">
        <v>765</v>
      </c>
      <c r="B3480" t="str">
        <f>VLOOKUP(B3477,Tabelle3!$A$2:$E$33,4,FALSE)</f>
        <v>""</v>
      </c>
      <c r="D3480" t="str">
        <f t="shared" ref="D3480:D3543" si="2870">IF(ISNUMBER(B3480),(A3480&amp;B3480),"")</f>
        <v/>
      </c>
    </row>
    <row r="3481" spans="1:4" x14ac:dyDescent="0.55000000000000004">
      <c r="A3481" t="s">
        <v>6</v>
      </c>
      <c r="D3481" t="str">
        <f t="shared" ref="D3481:D3544" si="2871">A3481</f>
        <v xml:space="preserve">  },</v>
      </c>
    </row>
    <row r="3482" spans="1:4" x14ac:dyDescent="0.55000000000000004">
      <c r="A3482" t="s">
        <v>591</v>
      </c>
      <c r="D3482" t="str">
        <f t="shared" si="2871"/>
        <v xml:space="preserve">  "50-58": {</v>
      </c>
    </row>
    <row r="3483" spans="1:4" x14ac:dyDescent="0.55000000000000004">
      <c r="A3483" t="s">
        <v>590</v>
      </c>
      <c r="B3483">
        <f t="shared" ref="B3483" si="2872">_xlfn.NUMBERVALUE(RIGHT(A3483,2))</f>
        <v>39</v>
      </c>
      <c r="D3483" t="str">
        <f t="shared" ref="D3483:D3546" si="2873">A3483&amp;","</f>
        <v xml:space="preserve">    "resultPage": 39,</v>
      </c>
    </row>
    <row r="3484" spans="1:4" x14ac:dyDescent="0.55000000000000004">
      <c r="A3484" t="s">
        <v>763</v>
      </c>
      <c r="B3484" t="str">
        <f>VLOOKUP(B3483,Tabelle3!$A$2:$E$33,3,FALSE)</f>
        <v>Charging</v>
      </c>
      <c r="C3484" t="s">
        <v>762</v>
      </c>
      <c r="D3484" t="str">
        <f t="shared" ref="D3484" si="2874">_xlfn.CONCAT(A3484:C3484)</f>
        <v xml:space="preserve">    "message":  "Charging",</v>
      </c>
    </row>
    <row r="3485" spans="1:4" x14ac:dyDescent="0.55000000000000004">
      <c r="A3485" t="s">
        <v>764</v>
      </c>
      <c r="B3485" t="str">
        <f>VLOOKUP(B3483,Tabelle3!$A$2:$E$33,5,FALSE)</f>
        <v>No Yellow</v>
      </c>
      <c r="C3485" t="s">
        <v>762</v>
      </c>
      <c r="D3485" t="str">
        <f t="shared" si="2849"/>
        <v xml:space="preserve">    "nextInstruction":  "No Yellow",</v>
      </c>
    </row>
    <row r="3486" spans="1:4" x14ac:dyDescent="0.55000000000000004">
      <c r="A3486" t="s">
        <v>765</v>
      </c>
      <c r="B3486" t="str">
        <f>VLOOKUP(B3483,Tabelle3!$A$2:$E$33,4,FALSE)</f>
        <v>""</v>
      </c>
      <c r="D3486" t="str">
        <f t="shared" ref="D3486:D3549" si="2875">IF(ISNUMBER(B3486),(A3486&amp;B3486),"")</f>
        <v/>
      </c>
    </row>
    <row r="3487" spans="1:4" x14ac:dyDescent="0.55000000000000004">
      <c r="A3487" t="s">
        <v>6</v>
      </c>
      <c r="D3487" t="str">
        <f t="shared" ref="D3487:D3550" si="2876">A3487</f>
        <v xml:space="preserve">  },</v>
      </c>
    </row>
    <row r="3488" spans="1:4" x14ac:dyDescent="0.55000000000000004">
      <c r="A3488" t="s">
        <v>592</v>
      </c>
      <c r="D3488" t="str">
        <f t="shared" si="2876"/>
        <v xml:space="preserve">  "50-60": {</v>
      </c>
    </row>
    <row r="3489" spans="1:4" x14ac:dyDescent="0.55000000000000004">
      <c r="A3489" t="s">
        <v>138</v>
      </c>
      <c r="B3489">
        <f t="shared" ref="B3489" si="2877">_xlfn.NUMBERVALUE(RIGHT(A3489,2))</f>
        <v>13</v>
      </c>
      <c r="D3489" t="str">
        <f t="shared" ref="D3489:D3552" si="2878">A3489&amp;","</f>
        <v xml:space="preserve">    "resultPage": 13,</v>
      </c>
    </row>
    <row r="3490" spans="1:4" x14ac:dyDescent="0.55000000000000004">
      <c r="A3490" t="s">
        <v>763</v>
      </c>
      <c r="B3490" t="str">
        <f>VLOOKUP(B3489,Tabelle3!$A$2:$E$33,3,FALSE)</f>
        <v>Leg Wound</v>
      </c>
      <c r="C3490" t="s">
        <v>762</v>
      </c>
      <c r="D3490" t="str">
        <f t="shared" ref="D3490" si="2879">_xlfn.CONCAT(A3490:C3490)</f>
        <v xml:space="preserve">    "message":  "Leg Wound",</v>
      </c>
    </row>
    <row r="3491" spans="1:4" x14ac:dyDescent="0.55000000000000004">
      <c r="A3491" t="s">
        <v>764</v>
      </c>
      <c r="B3491" t="str">
        <f>VLOOKUP(B3489,Tabelle3!$A$2:$E$33,5,FALSE)</f>
        <v>No Orange</v>
      </c>
      <c r="C3491" t="s">
        <v>762</v>
      </c>
      <c r="D3491" t="str">
        <f t="shared" si="2849"/>
        <v xml:space="preserve">    "nextInstruction":  "No Orange",</v>
      </c>
    </row>
    <row r="3492" spans="1:4" x14ac:dyDescent="0.55000000000000004">
      <c r="A3492" t="s">
        <v>765</v>
      </c>
      <c r="B3492">
        <f>VLOOKUP(B3489,Tabelle3!$A$2:$E$33,4,FALSE)</f>
        <v>4</v>
      </c>
      <c r="D3492" t="str">
        <f t="shared" ref="D3492:D3555" si="2880">IF(ISNUMBER(B3492),(A3492&amp;B3492),"")</f>
        <v xml:space="preserve">    "damageModifier": 4</v>
      </c>
    </row>
    <row r="3493" spans="1:4" x14ac:dyDescent="0.55000000000000004">
      <c r="A3493" t="s">
        <v>6</v>
      </c>
      <c r="D3493" t="str">
        <f t="shared" ref="D3493:D3556" si="2881">A3493</f>
        <v xml:space="preserve">  },</v>
      </c>
    </row>
    <row r="3494" spans="1:4" x14ac:dyDescent="0.55000000000000004">
      <c r="A3494" t="s">
        <v>593</v>
      </c>
      <c r="D3494" t="str">
        <f t="shared" si="2881"/>
        <v xml:space="preserve">  "50-62": {</v>
      </c>
    </row>
    <row r="3495" spans="1:4" x14ac:dyDescent="0.55000000000000004">
      <c r="A3495" t="s">
        <v>590</v>
      </c>
      <c r="B3495">
        <f t="shared" ref="B3495" si="2882">_xlfn.NUMBERVALUE(RIGHT(A3495,2))</f>
        <v>39</v>
      </c>
      <c r="D3495" t="str">
        <f t="shared" ref="D3495:D3558" si="2883">A3495&amp;","</f>
        <v xml:space="preserve">    "resultPage": 39,</v>
      </c>
    </row>
    <row r="3496" spans="1:4" x14ac:dyDescent="0.55000000000000004">
      <c r="A3496" t="s">
        <v>763</v>
      </c>
      <c r="B3496" t="str">
        <f>VLOOKUP(B3495,Tabelle3!$A$2:$E$33,3,FALSE)</f>
        <v>Charging</v>
      </c>
      <c r="C3496" t="s">
        <v>762</v>
      </c>
      <c r="D3496" t="str">
        <f t="shared" ref="D3496" si="2884">_xlfn.CONCAT(A3496:C3496)</f>
        <v xml:space="preserve">    "message":  "Charging",</v>
      </c>
    </row>
    <row r="3497" spans="1:4" x14ac:dyDescent="0.55000000000000004">
      <c r="A3497" t="s">
        <v>764</v>
      </c>
      <c r="B3497" t="str">
        <f>VLOOKUP(B3495,Tabelle3!$A$2:$E$33,5,FALSE)</f>
        <v>No Yellow</v>
      </c>
      <c r="C3497" t="s">
        <v>762</v>
      </c>
      <c r="D3497" t="str">
        <f t="shared" si="2849"/>
        <v xml:space="preserve">    "nextInstruction":  "No Yellow",</v>
      </c>
    </row>
    <row r="3498" spans="1:4" x14ac:dyDescent="0.55000000000000004">
      <c r="A3498" t="s">
        <v>765</v>
      </c>
      <c r="B3498" t="str">
        <f>VLOOKUP(B3495,Tabelle3!$A$2:$E$33,4,FALSE)</f>
        <v>""</v>
      </c>
      <c r="D3498" t="str">
        <f t="shared" ref="D3498:D3561" si="2885">IF(ISNUMBER(B3498),(A3498&amp;B3498),"")</f>
        <v/>
      </c>
    </row>
    <row r="3499" spans="1:4" x14ac:dyDescent="0.55000000000000004">
      <c r="A3499" t="s">
        <v>6</v>
      </c>
      <c r="D3499" t="str">
        <f t="shared" ref="D3499:D3562" si="2886">A3499</f>
        <v xml:space="preserve">  },</v>
      </c>
    </row>
    <row r="3500" spans="1:4" x14ac:dyDescent="0.55000000000000004">
      <c r="A3500" t="s">
        <v>594</v>
      </c>
      <c r="D3500" t="str">
        <f t="shared" si="2886"/>
        <v xml:space="preserve">  "50-64": {</v>
      </c>
    </row>
    <row r="3501" spans="1:4" x14ac:dyDescent="0.55000000000000004">
      <c r="A3501" t="s">
        <v>23</v>
      </c>
      <c r="B3501">
        <f t="shared" ref="B3501" si="2887">_xlfn.NUMBERVALUE(RIGHT(A3501,2))</f>
        <v>7</v>
      </c>
      <c r="D3501" t="str">
        <f t="shared" ref="D3501:D3564" si="2888">A3501&amp;","</f>
        <v xml:space="preserve">    "resultPage": 7,</v>
      </c>
    </row>
    <row r="3502" spans="1:4" x14ac:dyDescent="0.55000000000000004">
      <c r="A3502" t="s">
        <v>763</v>
      </c>
      <c r="B3502" t="str">
        <f>VLOOKUP(B3501,Tabelle3!$A$2:$E$33,3,FALSE)</f>
        <v>Dazed</v>
      </c>
      <c r="C3502" t="s">
        <v>762</v>
      </c>
      <c r="D3502" t="str">
        <f t="shared" ref="D3502" si="2889">_xlfn.CONCAT(A3502:C3502)</f>
        <v xml:space="preserve">    "message":  "Dazed",</v>
      </c>
    </row>
    <row r="3503" spans="1:4" x14ac:dyDescent="0.55000000000000004">
      <c r="A3503" t="s">
        <v>764</v>
      </c>
      <c r="B3503" t="str">
        <f>VLOOKUP(B3501,Tabelle3!$A$2:$E$33,5,FALSE)</f>
        <v>Only Green Only Yellow</v>
      </c>
      <c r="C3503" t="s">
        <v>762</v>
      </c>
      <c r="D3503" t="str">
        <f t="shared" si="2849"/>
        <v xml:space="preserve">    "nextInstruction":  "Only Green Only Yellow",</v>
      </c>
    </row>
    <row r="3504" spans="1:4" x14ac:dyDescent="0.55000000000000004">
      <c r="A3504" t="s">
        <v>765</v>
      </c>
      <c r="B3504">
        <f>VLOOKUP(B3501,Tabelle3!$A$2:$E$33,4,FALSE)</f>
        <v>7</v>
      </c>
      <c r="D3504" t="str">
        <f t="shared" ref="D3504:D3567" si="2890">IF(ISNUMBER(B3504),(A3504&amp;B3504),"")</f>
        <v xml:space="preserve">    "damageModifier": 7</v>
      </c>
    </row>
    <row r="3505" spans="1:4" x14ac:dyDescent="0.55000000000000004">
      <c r="A3505" t="s">
        <v>6</v>
      </c>
      <c r="D3505" t="str">
        <f t="shared" ref="D3505:D3568" si="2891">A3505</f>
        <v xml:space="preserve">  },</v>
      </c>
    </row>
    <row r="3506" spans="1:4" x14ac:dyDescent="0.55000000000000004">
      <c r="A3506" t="s">
        <v>595</v>
      </c>
      <c r="D3506" t="str">
        <f t="shared" si="2891"/>
        <v xml:space="preserve">  "52-50": {</v>
      </c>
    </row>
    <row r="3507" spans="1:4" x14ac:dyDescent="0.55000000000000004">
      <c r="A3507" t="s">
        <v>96</v>
      </c>
      <c r="B3507">
        <f t="shared" ref="B3507" si="2892">_xlfn.NUMBERVALUE(RIGHT(A3507,2))</f>
        <v>23</v>
      </c>
      <c r="D3507" t="str">
        <f t="shared" ref="D3507:D3570" si="2893">A3507&amp;","</f>
        <v xml:space="preserve">    "resultPage": 23,</v>
      </c>
    </row>
    <row r="3508" spans="1:4" x14ac:dyDescent="0.55000000000000004">
      <c r="A3508" t="s">
        <v>763</v>
      </c>
      <c r="B3508" t="str">
        <f>VLOOKUP(B3507,Tabelle3!$A$2:$E$33,3,FALSE)</f>
        <v>Behind You</v>
      </c>
      <c r="C3508" t="s">
        <v>762</v>
      </c>
      <c r="D3508" t="str">
        <f t="shared" ref="D3508" si="2894">_xlfn.CONCAT(A3508:C3508)</f>
        <v xml:space="preserve">    "message":  "Behind You",</v>
      </c>
    </row>
    <row r="3509" spans="1:4" x14ac:dyDescent="0.55000000000000004">
      <c r="A3509" t="s">
        <v>764</v>
      </c>
      <c r="B3509" t="str">
        <f>VLOOKUP(B3507,Tabelle3!$A$2:$E$33,5,FALSE)</f>
        <v/>
      </c>
      <c r="C3509" t="s">
        <v>762</v>
      </c>
      <c r="D3509" t="str">
        <f t="shared" si="2849"/>
        <v xml:space="preserve">    "nextInstruction":  "",</v>
      </c>
    </row>
    <row r="3510" spans="1:4" x14ac:dyDescent="0.55000000000000004">
      <c r="A3510" t="s">
        <v>765</v>
      </c>
      <c r="B3510" t="str">
        <f>VLOOKUP(B3507,Tabelle3!$A$2:$E$33,4,FALSE)</f>
        <v>""</v>
      </c>
      <c r="D3510" t="str">
        <f t="shared" ref="D3510:D3573" si="2895">IF(ISNUMBER(B3510),(A3510&amp;B3510),"")</f>
        <v/>
      </c>
    </row>
    <row r="3511" spans="1:4" x14ac:dyDescent="0.55000000000000004">
      <c r="A3511" t="s">
        <v>6</v>
      </c>
      <c r="D3511" t="str">
        <f t="shared" ref="D3511:D3574" si="2896">A3511</f>
        <v xml:space="preserve">  },</v>
      </c>
    </row>
    <row r="3512" spans="1:4" x14ac:dyDescent="0.55000000000000004">
      <c r="A3512" t="s">
        <v>596</v>
      </c>
      <c r="D3512" t="str">
        <f t="shared" si="2896"/>
        <v xml:space="preserve">  "52-52": {</v>
      </c>
    </row>
    <row r="3513" spans="1:4" x14ac:dyDescent="0.55000000000000004">
      <c r="A3513" t="s">
        <v>98</v>
      </c>
      <c r="B3513">
        <f t="shared" ref="B3513" si="2897">_xlfn.NUMBERVALUE(RIGHT(A3513,2))</f>
        <v>61</v>
      </c>
      <c r="D3513" t="str">
        <f t="shared" ref="D3513:D3576" si="2898">A3513&amp;","</f>
        <v xml:space="preserve">    "resultPage": 61,</v>
      </c>
    </row>
    <row r="3514" spans="1:4" x14ac:dyDescent="0.55000000000000004">
      <c r="A3514" t="s">
        <v>763</v>
      </c>
      <c r="B3514" t="str">
        <f>VLOOKUP(B3513,Tabelle3!$A$2:$E$33,3,FALSE)</f>
        <v>Extended Range Dodging</v>
      </c>
      <c r="C3514" t="s">
        <v>762</v>
      </c>
      <c r="D3514" t="str">
        <f t="shared" ref="D3514" si="2899">_xlfn.CONCAT(A3514:C3514)</f>
        <v xml:space="preserve">    "message":  "Extended Range Dodging",</v>
      </c>
    </row>
    <row r="3515" spans="1:4" x14ac:dyDescent="0.55000000000000004">
      <c r="A3515" t="s">
        <v>764</v>
      </c>
      <c r="B3515" t="str">
        <f>VLOOKUP(B3513,Tabelle3!$A$2:$E$33,5,FALSE)</f>
        <v>Only Extended Range</v>
      </c>
      <c r="C3515" t="s">
        <v>762</v>
      </c>
      <c r="D3515" t="str">
        <f t="shared" si="2849"/>
        <v xml:space="preserve">    "nextInstruction":  "Only Extended Range",</v>
      </c>
    </row>
    <row r="3516" spans="1:4" x14ac:dyDescent="0.55000000000000004">
      <c r="A3516" t="s">
        <v>765</v>
      </c>
      <c r="B3516" t="str">
        <f>VLOOKUP(B3513,Tabelle3!$A$2:$E$33,4,FALSE)</f>
        <v>""</v>
      </c>
      <c r="D3516" t="str">
        <f t="shared" ref="D3516:D3579" si="2900">IF(ISNUMBER(B3516),(A3516&amp;B3516),"")</f>
        <v/>
      </c>
    </row>
    <row r="3517" spans="1:4" x14ac:dyDescent="0.55000000000000004">
      <c r="A3517" t="s">
        <v>6</v>
      </c>
      <c r="D3517" t="str">
        <f t="shared" ref="D3517:D3580" si="2901">A3517</f>
        <v xml:space="preserve">  },</v>
      </c>
    </row>
    <row r="3518" spans="1:4" x14ac:dyDescent="0.55000000000000004">
      <c r="A3518" t="s">
        <v>597</v>
      </c>
      <c r="D3518" t="str">
        <f t="shared" si="2901"/>
        <v xml:space="preserve">  "52-54": {</v>
      </c>
    </row>
    <row r="3519" spans="1:4" x14ac:dyDescent="0.55000000000000004">
      <c r="A3519" t="s">
        <v>90</v>
      </c>
      <c r="B3519">
        <f t="shared" ref="B3519" si="2902">_xlfn.NUMBERVALUE(RIGHT(A3519,2))</f>
        <v>33</v>
      </c>
      <c r="D3519" t="str">
        <f t="shared" ref="D3519:D3582" si="2903">A3519&amp;","</f>
        <v xml:space="preserve">    "resultPage": 33,</v>
      </c>
    </row>
    <row r="3520" spans="1:4" x14ac:dyDescent="0.55000000000000004">
      <c r="A3520" t="s">
        <v>763</v>
      </c>
      <c r="B3520" t="str">
        <f>VLOOKUP(B3519,Tabelle3!$A$2:$E$33,3,FALSE)</f>
        <v>Dodging</v>
      </c>
      <c r="C3520" t="s">
        <v>762</v>
      </c>
      <c r="D3520" t="str">
        <f t="shared" ref="D3520:D3581" si="2904">_xlfn.CONCAT(A3520:C3520)</f>
        <v xml:space="preserve">    "message":  "Dodging",</v>
      </c>
    </row>
    <row r="3521" spans="1:4" x14ac:dyDescent="0.55000000000000004">
      <c r="A3521" t="s">
        <v>764</v>
      </c>
      <c r="B3521" t="str">
        <f>VLOOKUP(B3519,Tabelle3!$A$2:$E$33,5,FALSE)</f>
        <v>Add + 2 to any DownSwing Add + 2 to any SideSwing</v>
      </c>
      <c r="C3521" t="s">
        <v>762</v>
      </c>
      <c r="D3521" t="str">
        <f t="shared" si="2904"/>
        <v xml:space="preserve">    "nextInstruction":  "Add + 2 to any DownSwing Add + 2 to any SideSwing",</v>
      </c>
    </row>
    <row r="3522" spans="1:4" x14ac:dyDescent="0.55000000000000004">
      <c r="A3522" t="s">
        <v>765</v>
      </c>
      <c r="B3522" t="str">
        <f>VLOOKUP(B3519,Tabelle3!$A$2:$E$33,4,FALSE)</f>
        <v>""</v>
      </c>
      <c r="D3522" t="str">
        <f t="shared" ref="D3522:D3585" si="2905">IF(ISNUMBER(B3522),(A3522&amp;B3522),"")</f>
        <v/>
      </c>
    </row>
    <row r="3523" spans="1:4" x14ac:dyDescent="0.55000000000000004">
      <c r="A3523" t="s">
        <v>6</v>
      </c>
      <c r="D3523" t="str">
        <f t="shared" ref="D3523:D3586" si="2906">A3523</f>
        <v xml:space="preserve">  },</v>
      </c>
    </row>
    <row r="3524" spans="1:4" x14ac:dyDescent="0.55000000000000004">
      <c r="A3524" t="s">
        <v>598</v>
      </c>
      <c r="D3524" t="str">
        <f t="shared" si="2906"/>
        <v xml:space="preserve">  "52-56": {</v>
      </c>
    </row>
    <row r="3525" spans="1:4" x14ac:dyDescent="0.55000000000000004">
      <c r="A3525" t="s">
        <v>98</v>
      </c>
      <c r="B3525">
        <f t="shared" ref="B3525" si="2907">_xlfn.NUMBERVALUE(RIGHT(A3525,2))</f>
        <v>61</v>
      </c>
      <c r="D3525" t="str">
        <f t="shared" ref="D3525:D3588" si="2908">A3525&amp;","</f>
        <v xml:space="preserve">    "resultPage": 61,</v>
      </c>
    </row>
    <row r="3526" spans="1:4" x14ac:dyDescent="0.55000000000000004">
      <c r="A3526" t="s">
        <v>763</v>
      </c>
      <c r="B3526" t="str">
        <f>VLOOKUP(B3525,Tabelle3!$A$2:$E$33,3,FALSE)</f>
        <v>Extended Range Dodging</v>
      </c>
      <c r="C3526" t="s">
        <v>762</v>
      </c>
      <c r="D3526" t="str">
        <f t="shared" ref="D3526" si="2909">_xlfn.CONCAT(A3526:C3526)</f>
        <v xml:space="preserve">    "message":  "Extended Range Dodging",</v>
      </c>
    </row>
    <row r="3527" spans="1:4" x14ac:dyDescent="0.55000000000000004">
      <c r="A3527" t="s">
        <v>764</v>
      </c>
      <c r="B3527" t="str">
        <f>VLOOKUP(B3525,Tabelle3!$A$2:$E$33,5,FALSE)</f>
        <v>Only Extended Range</v>
      </c>
      <c r="C3527" t="s">
        <v>762</v>
      </c>
      <c r="D3527" t="str">
        <f t="shared" si="2904"/>
        <v xml:space="preserve">    "nextInstruction":  "Only Extended Range",</v>
      </c>
    </row>
    <row r="3528" spans="1:4" x14ac:dyDescent="0.55000000000000004">
      <c r="A3528" t="s">
        <v>765</v>
      </c>
      <c r="B3528" t="str">
        <f>VLOOKUP(B3525,Tabelle3!$A$2:$E$33,4,FALSE)</f>
        <v>""</v>
      </c>
      <c r="D3528" t="str">
        <f t="shared" ref="D3528:D3591" si="2910">IF(ISNUMBER(B3528),(A3528&amp;B3528),"")</f>
        <v/>
      </c>
    </row>
    <row r="3529" spans="1:4" x14ac:dyDescent="0.55000000000000004">
      <c r="A3529" t="s">
        <v>6</v>
      </c>
      <c r="D3529" t="str">
        <f t="shared" ref="D3529:D3592" si="2911">A3529</f>
        <v xml:space="preserve">  },</v>
      </c>
    </row>
    <row r="3530" spans="1:4" x14ac:dyDescent="0.55000000000000004">
      <c r="A3530" t="s">
        <v>599</v>
      </c>
      <c r="D3530" t="str">
        <f t="shared" si="2911"/>
        <v xml:space="preserve">  "52-58": {</v>
      </c>
    </row>
    <row r="3531" spans="1:4" x14ac:dyDescent="0.55000000000000004">
      <c r="A3531" t="s">
        <v>90</v>
      </c>
      <c r="B3531">
        <f t="shared" ref="B3531" si="2912">_xlfn.NUMBERVALUE(RIGHT(A3531,2))</f>
        <v>33</v>
      </c>
      <c r="D3531" t="str">
        <f t="shared" ref="D3531:D3594" si="2913">A3531&amp;","</f>
        <v xml:space="preserve">    "resultPage": 33,</v>
      </c>
    </row>
    <row r="3532" spans="1:4" x14ac:dyDescent="0.55000000000000004">
      <c r="A3532" t="s">
        <v>763</v>
      </c>
      <c r="B3532" t="str">
        <f>VLOOKUP(B3531,Tabelle3!$A$2:$E$33,3,FALSE)</f>
        <v>Dodging</v>
      </c>
      <c r="C3532" t="s">
        <v>762</v>
      </c>
      <c r="D3532" t="str">
        <f t="shared" ref="D3532" si="2914">_xlfn.CONCAT(A3532:C3532)</f>
        <v xml:space="preserve">    "message":  "Dodging",</v>
      </c>
    </row>
    <row r="3533" spans="1:4" x14ac:dyDescent="0.55000000000000004">
      <c r="A3533" t="s">
        <v>764</v>
      </c>
      <c r="B3533" t="str">
        <f>VLOOKUP(B3531,Tabelle3!$A$2:$E$33,5,FALSE)</f>
        <v>Add + 2 to any DownSwing Add + 2 to any SideSwing</v>
      </c>
      <c r="C3533" t="s">
        <v>762</v>
      </c>
      <c r="D3533" t="str">
        <f t="shared" si="2904"/>
        <v xml:space="preserve">    "nextInstruction":  "Add + 2 to any DownSwing Add + 2 to any SideSwing",</v>
      </c>
    </row>
    <row r="3534" spans="1:4" x14ac:dyDescent="0.55000000000000004">
      <c r="A3534" t="s">
        <v>765</v>
      </c>
      <c r="B3534" t="str">
        <f>VLOOKUP(B3531,Tabelle3!$A$2:$E$33,4,FALSE)</f>
        <v>""</v>
      </c>
      <c r="D3534" t="str">
        <f t="shared" ref="D3534:D3597" si="2915">IF(ISNUMBER(B3534),(A3534&amp;B3534),"")</f>
        <v/>
      </c>
    </row>
    <row r="3535" spans="1:4" x14ac:dyDescent="0.55000000000000004">
      <c r="A3535" t="s">
        <v>6</v>
      </c>
      <c r="D3535" t="str">
        <f t="shared" ref="D3535:D3598" si="2916">A3535</f>
        <v xml:space="preserve">  },</v>
      </c>
    </row>
    <row r="3536" spans="1:4" x14ac:dyDescent="0.55000000000000004">
      <c r="A3536" t="s">
        <v>600</v>
      </c>
      <c r="D3536" t="str">
        <f t="shared" si="2916"/>
        <v xml:space="preserve">  "52-60": {</v>
      </c>
    </row>
    <row r="3537" spans="1:4" x14ac:dyDescent="0.55000000000000004">
      <c r="A3537" t="s">
        <v>90</v>
      </c>
      <c r="B3537">
        <f t="shared" ref="B3537" si="2917">_xlfn.NUMBERVALUE(RIGHT(A3537,2))</f>
        <v>33</v>
      </c>
      <c r="D3537" t="str">
        <f t="shared" ref="D3537:D3600" si="2918">A3537&amp;","</f>
        <v xml:space="preserve">    "resultPage": 33,</v>
      </c>
    </row>
    <row r="3538" spans="1:4" x14ac:dyDescent="0.55000000000000004">
      <c r="A3538" t="s">
        <v>763</v>
      </c>
      <c r="B3538" t="str">
        <f>VLOOKUP(B3537,Tabelle3!$A$2:$E$33,3,FALSE)</f>
        <v>Dodging</v>
      </c>
      <c r="C3538" t="s">
        <v>762</v>
      </c>
      <c r="D3538" t="str">
        <f t="shared" ref="D3538" si="2919">_xlfn.CONCAT(A3538:C3538)</f>
        <v xml:space="preserve">    "message":  "Dodging",</v>
      </c>
    </row>
    <row r="3539" spans="1:4" x14ac:dyDescent="0.55000000000000004">
      <c r="A3539" t="s">
        <v>764</v>
      </c>
      <c r="B3539" t="str">
        <f>VLOOKUP(B3537,Tabelle3!$A$2:$E$33,5,FALSE)</f>
        <v>Add + 2 to any DownSwing Add + 2 to any SideSwing</v>
      </c>
      <c r="C3539" t="s">
        <v>762</v>
      </c>
      <c r="D3539" t="str">
        <f t="shared" si="2904"/>
        <v xml:space="preserve">    "nextInstruction":  "Add + 2 to any DownSwing Add + 2 to any SideSwing",</v>
      </c>
    </row>
    <row r="3540" spans="1:4" x14ac:dyDescent="0.55000000000000004">
      <c r="A3540" t="s">
        <v>765</v>
      </c>
      <c r="B3540" t="str">
        <f>VLOOKUP(B3537,Tabelle3!$A$2:$E$33,4,FALSE)</f>
        <v>""</v>
      </c>
      <c r="D3540" t="str">
        <f t="shared" ref="D3540:D3603" si="2920">IF(ISNUMBER(B3540),(A3540&amp;B3540),"")</f>
        <v/>
      </c>
    </row>
    <row r="3541" spans="1:4" x14ac:dyDescent="0.55000000000000004">
      <c r="A3541" t="s">
        <v>6</v>
      </c>
      <c r="D3541" t="str">
        <f t="shared" ref="D3541:D3604" si="2921">A3541</f>
        <v xml:space="preserve">  },</v>
      </c>
    </row>
    <row r="3542" spans="1:4" x14ac:dyDescent="0.55000000000000004">
      <c r="A3542" t="s">
        <v>601</v>
      </c>
      <c r="D3542" t="str">
        <f t="shared" si="2921"/>
        <v xml:space="preserve">  "52-62": {</v>
      </c>
    </row>
    <row r="3543" spans="1:4" x14ac:dyDescent="0.55000000000000004">
      <c r="A3543" t="s">
        <v>98</v>
      </c>
      <c r="B3543">
        <f t="shared" ref="B3543" si="2922">_xlfn.NUMBERVALUE(RIGHT(A3543,2))</f>
        <v>61</v>
      </c>
      <c r="D3543" t="str">
        <f t="shared" ref="D3543:D3606" si="2923">A3543&amp;","</f>
        <v xml:space="preserve">    "resultPage": 61,</v>
      </c>
    </row>
    <row r="3544" spans="1:4" x14ac:dyDescent="0.55000000000000004">
      <c r="A3544" t="s">
        <v>763</v>
      </c>
      <c r="B3544" t="str">
        <f>VLOOKUP(B3543,Tabelle3!$A$2:$E$33,3,FALSE)</f>
        <v>Extended Range Dodging</v>
      </c>
      <c r="C3544" t="s">
        <v>762</v>
      </c>
      <c r="D3544" t="str">
        <f t="shared" ref="D3544" si="2924">_xlfn.CONCAT(A3544:C3544)</f>
        <v xml:space="preserve">    "message":  "Extended Range Dodging",</v>
      </c>
    </row>
    <row r="3545" spans="1:4" x14ac:dyDescent="0.55000000000000004">
      <c r="A3545" t="s">
        <v>764</v>
      </c>
      <c r="B3545" t="str">
        <f>VLOOKUP(B3543,Tabelle3!$A$2:$E$33,5,FALSE)</f>
        <v>Only Extended Range</v>
      </c>
      <c r="C3545" t="s">
        <v>762</v>
      </c>
      <c r="D3545" t="str">
        <f t="shared" si="2904"/>
        <v xml:space="preserve">    "nextInstruction":  "Only Extended Range",</v>
      </c>
    </row>
    <row r="3546" spans="1:4" x14ac:dyDescent="0.55000000000000004">
      <c r="A3546" t="s">
        <v>765</v>
      </c>
      <c r="B3546" t="str">
        <f>VLOOKUP(B3543,Tabelle3!$A$2:$E$33,4,FALSE)</f>
        <v>""</v>
      </c>
      <c r="D3546" t="str">
        <f t="shared" ref="D3546:D3609" si="2925">IF(ISNUMBER(B3546),(A3546&amp;B3546),"")</f>
        <v/>
      </c>
    </row>
    <row r="3547" spans="1:4" x14ac:dyDescent="0.55000000000000004">
      <c r="A3547" t="s">
        <v>6</v>
      </c>
      <c r="D3547" t="str">
        <f t="shared" ref="D3547:D3610" si="2926">A3547</f>
        <v xml:space="preserve">  },</v>
      </c>
    </row>
    <row r="3548" spans="1:4" x14ac:dyDescent="0.55000000000000004">
      <c r="A3548" t="s">
        <v>602</v>
      </c>
      <c r="D3548" t="str">
        <f t="shared" si="2926"/>
        <v xml:space="preserve">  "52-64": {</v>
      </c>
    </row>
    <row r="3549" spans="1:4" x14ac:dyDescent="0.55000000000000004">
      <c r="A3549" t="s">
        <v>603</v>
      </c>
      <c r="B3549">
        <f t="shared" ref="B3549" si="2927">_xlfn.NUMBERVALUE(RIGHT(A3549,2))</f>
        <v>35</v>
      </c>
      <c r="D3549" t="str">
        <f t="shared" ref="D3549:D3612" si="2928">A3549&amp;","</f>
        <v xml:space="preserve">    "resultPage": 35,</v>
      </c>
    </row>
    <row r="3550" spans="1:4" x14ac:dyDescent="0.55000000000000004">
      <c r="A3550" t="s">
        <v>763</v>
      </c>
      <c r="B3550" t="str">
        <f>VLOOKUP(B3549,Tabelle3!$A$2:$E$33,3,FALSE)</f>
        <v>Extended Range Body Wound</v>
      </c>
      <c r="C3550" t="s">
        <v>762</v>
      </c>
      <c r="D3550" t="str">
        <f t="shared" ref="D3550" si="2929">_xlfn.CONCAT(A3550:C3550)</f>
        <v xml:space="preserve">    "message":  "Extended Range Body Wound",</v>
      </c>
    </row>
    <row r="3551" spans="1:4" x14ac:dyDescent="0.55000000000000004">
      <c r="A3551" t="s">
        <v>764</v>
      </c>
      <c r="B3551" t="str">
        <f>VLOOKUP(B3549,Tabelle3!$A$2:$E$33,5,FALSE)</f>
        <v>Only Brown</v>
      </c>
      <c r="C3551" t="s">
        <v>762</v>
      </c>
      <c r="D3551" t="str">
        <f t="shared" si="2904"/>
        <v xml:space="preserve">    "nextInstruction":  "Only Brown",</v>
      </c>
    </row>
    <row r="3552" spans="1:4" x14ac:dyDescent="0.55000000000000004">
      <c r="A3552" t="s">
        <v>765</v>
      </c>
      <c r="B3552">
        <f>VLOOKUP(B3549,Tabelle3!$A$2:$E$33,4,FALSE)</f>
        <v>4</v>
      </c>
      <c r="D3552" t="str">
        <f t="shared" ref="D3552:D3615" si="2930">IF(ISNUMBER(B3552),(A3552&amp;B3552),"")</f>
        <v xml:space="preserve">    "damageModifier": 4</v>
      </c>
    </row>
    <row r="3553" spans="1:4" x14ac:dyDescent="0.55000000000000004">
      <c r="A3553" t="s">
        <v>6</v>
      </c>
      <c r="D3553" t="str">
        <f t="shared" ref="D3553:D3616" si="2931">A3553</f>
        <v xml:space="preserve">  },</v>
      </c>
    </row>
    <row r="3554" spans="1:4" x14ac:dyDescent="0.55000000000000004">
      <c r="A3554" t="s">
        <v>604</v>
      </c>
      <c r="D3554" t="str">
        <f t="shared" si="2931"/>
        <v xml:space="preserve">  "54-50": {</v>
      </c>
    </row>
    <row r="3555" spans="1:4" x14ac:dyDescent="0.55000000000000004">
      <c r="A3555" t="s">
        <v>65</v>
      </c>
      <c r="B3555">
        <f t="shared" ref="B3555" si="2932">_xlfn.NUMBERVALUE(RIGHT(A3555,2))</f>
        <v>9</v>
      </c>
      <c r="D3555" t="str">
        <f t="shared" ref="D3555:D3618" si="2933">A3555&amp;","</f>
        <v xml:space="preserve">    "resultPage": 9,</v>
      </c>
    </row>
    <row r="3556" spans="1:4" x14ac:dyDescent="0.55000000000000004">
      <c r="A3556" t="s">
        <v>763</v>
      </c>
      <c r="B3556" t="str">
        <f>VLOOKUP(B3555,Tabelle3!$A$2:$E$33,3,FALSE)</f>
        <v>Thrusting High</v>
      </c>
      <c r="C3556" t="s">
        <v>762</v>
      </c>
      <c r="D3556" t="str">
        <f t="shared" ref="D3556" si="2934">_xlfn.CONCAT(A3556:C3556)</f>
        <v xml:space="preserve">    "message":  "Thrusting High",</v>
      </c>
    </row>
    <row r="3557" spans="1:4" x14ac:dyDescent="0.55000000000000004">
      <c r="A3557" t="s">
        <v>764</v>
      </c>
      <c r="B3557" t="str">
        <f>VLOOKUP(B3555,Tabelle3!$A$2:$E$33,5,FALSE)</f>
        <v/>
      </c>
      <c r="C3557" t="s">
        <v>762</v>
      </c>
      <c r="D3557" t="str">
        <f t="shared" si="2904"/>
        <v xml:space="preserve">    "nextInstruction":  "",</v>
      </c>
    </row>
    <row r="3558" spans="1:4" x14ac:dyDescent="0.55000000000000004">
      <c r="A3558" t="s">
        <v>765</v>
      </c>
      <c r="B3558" t="str">
        <f>VLOOKUP(B3555,Tabelle3!$A$2:$E$33,4,FALSE)</f>
        <v>""</v>
      </c>
      <c r="D3558" t="str">
        <f t="shared" ref="D3558:D3621" si="2935">IF(ISNUMBER(B3558),(A3558&amp;B3558),"")</f>
        <v/>
      </c>
    </row>
    <row r="3559" spans="1:4" x14ac:dyDescent="0.55000000000000004">
      <c r="A3559" t="s">
        <v>6</v>
      </c>
      <c r="D3559" t="str">
        <f t="shared" ref="D3559:D3622" si="2936">A3559</f>
        <v xml:space="preserve">  },</v>
      </c>
    </row>
    <row r="3560" spans="1:4" x14ac:dyDescent="0.55000000000000004">
      <c r="A3560" t="s">
        <v>605</v>
      </c>
      <c r="D3560" t="str">
        <f t="shared" si="2936"/>
        <v xml:space="preserve">  "54-52": {</v>
      </c>
    </row>
    <row r="3561" spans="1:4" x14ac:dyDescent="0.55000000000000004">
      <c r="A3561" t="s">
        <v>65</v>
      </c>
      <c r="B3561">
        <f t="shared" ref="B3561" si="2937">_xlfn.NUMBERVALUE(RIGHT(A3561,2))</f>
        <v>9</v>
      </c>
      <c r="D3561" t="str">
        <f t="shared" ref="D3561:D3624" si="2938">A3561&amp;","</f>
        <v xml:space="preserve">    "resultPage": 9,</v>
      </c>
    </row>
    <row r="3562" spans="1:4" x14ac:dyDescent="0.55000000000000004">
      <c r="A3562" t="s">
        <v>763</v>
      </c>
      <c r="B3562" t="str">
        <f>VLOOKUP(B3561,Tabelle3!$A$2:$E$33,3,FALSE)</f>
        <v>Thrusting High</v>
      </c>
      <c r="C3562" t="s">
        <v>762</v>
      </c>
      <c r="D3562" t="str">
        <f t="shared" ref="D3562" si="2939">_xlfn.CONCAT(A3562:C3562)</f>
        <v xml:space="preserve">    "message":  "Thrusting High",</v>
      </c>
    </row>
    <row r="3563" spans="1:4" x14ac:dyDescent="0.55000000000000004">
      <c r="A3563" t="s">
        <v>764</v>
      </c>
      <c r="B3563" t="str">
        <f>VLOOKUP(B3561,Tabelle3!$A$2:$E$33,5,FALSE)</f>
        <v/>
      </c>
      <c r="C3563" t="s">
        <v>762</v>
      </c>
      <c r="D3563" t="str">
        <f t="shared" si="2904"/>
        <v xml:space="preserve">    "nextInstruction":  "",</v>
      </c>
    </row>
    <row r="3564" spans="1:4" x14ac:dyDescent="0.55000000000000004">
      <c r="A3564" t="s">
        <v>765</v>
      </c>
      <c r="B3564" t="str">
        <f>VLOOKUP(B3561,Tabelle3!$A$2:$E$33,4,FALSE)</f>
        <v>""</v>
      </c>
      <c r="D3564" t="str">
        <f t="shared" ref="D3564:D3627" si="2940">IF(ISNUMBER(B3564),(A3564&amp;B3564),"")</f>
        <v/>
      </c>
    </row>
    <row r="3565" spans="1:4" x14ac:dyDescent="0.55000000000000004">
      <c r="A3565" t="s">
        <v>6</v>
      </c>
      <c r="D3565" t="str">
        <f t="shared" ref="D3565:D3628" si="2941">A3565</f>
        <v xml:space="preserve">  },</v>
      </c>
    </row>
    <row r="3566" spans="1:4" x14ac:dyDescent="0.55000000000000004">
      <c r="A3566" t="s">
        <v>606</v>
      </c>
      <c r="D3566" t="str">
        <f t="shared" si="2941"/>
        <v xml:space="preserve">  "54-54": {</v>
      </c>
    </row>
    <row r="3567" spans="1:4" x14ac:dyDescent="0.55000000000000004">
      <c r="A3567" t="s">
        <v>76</v>
      </c>
      <c r="B3567">
        <f t="shared" ref="B3567" si="2942">_xlfn.NUMBERVALUE(RIGHT(A3567,2))</f>
        <v>45</v>
      </c>
      <c r="D3567" t="str">
        <f t="shared" ref="D3567:D3630" si="2943">A3567&amp;","</f>
        <v xml:space="preserve">    "resultPage": 45,</v>
      </c>
    </row>
    <row r="3568" spans="1:4" x14ac:dyDescent="0.55000000000000004">
      <c r="A3568" t="s">
        <v>763</v>
      </c>
      <c r="B3568" t="str">
        <f>VLOOKUP(B3567,Tabelle3!$A$2:$E$33,3,FALSE)</f>
        <v>Parrying High</v>
      </c>
      <c r="C3568" t="s">
        <v>762</v>
      </c>
      <c r="D3568" t="str">
        <f t="shared" ref="D3568" si="2944">_xlfn.CONCAT(A3568:C3568)</f>
        <v xml:space="preserve">    "message":  "Parrying High",</v>
      </c>
    </row>
    <row r="3569" spans="1:4" x14ac:dyDescent="0.55000000000000004">
      <c r="A3569" t="s">
        <v>764</v>
      </c>
      <c r="B3569" t="str">
        <f>VLOOKUP(B3567,Tabelle3!$A$2:$E$33,5,FALSE)</f>
        <v/>
      </c>
      <c r="C3569" t="s">
        <v>762</v>
      </c>
      <c r="D3569" t="str">
        <f t="shared" si="2904"/>
        <v xml:space="preserve">    "nextInstruction":  "",</v>
      </c>
    </row>
    <row r="3570" spans="1:4" x14ac:dyDescent="0.55000000000000004">
      <c r="A3570" t="s">
        <v>765</v>
      </c>
      <c r="B3570">
        <f>VLOOKUP(B3567,Tabelle3!$A$2:$E$33,4,FALSE)</f>
        <v>-4</v>
      </c>
      <c r="D3570" t="str">
        <f t="shared" ref="D3570:D3633" si="2945">IF(ISNUMBER(B3570),(A3570&amp;B3570),"")</f>
        <v xml:space="preserve">    "damageModifier": -4</v>
      </c>
    </row>
    <row r="3571" spans="1:4" x14ac:dyDescent="0.55000000000000004">
      <c r="A3571" t="s">
        <v>6</v>
      </c>
      <c r="D3571" t="str">
        <f t="shared" ref="D3571:D3634" si="2946">A3571</f>
        <v xml:space="preserve">  },</v>
      </c>
    </row>
    <row r="3572" spans="1:4" x14ac:dyDescent="0.55000000000000004">
      <c r="A3572" t="s">
        <v>607</v>
      </c>
      <c r="D3572" t="str">
        <f t="shared" si="2946"/>
        <v xml:space="preserve">  "54-56": {</v>
      </c>
    </row>
    <row r="3573" spans="1:4" x14ac:dyDescent="0.55000000000000004">
      <c r="A3573" t="s">
        <v>65</v>
      </c>
      <c r="B3573">
        <f t="shared" ref="B3573" si="2947">_xlfn.NUMBERVALUE(RIGHT(A3573,2))</f>
        <v>9</v>
      </c>
      <c r="D3573" t="str">
        <f t="shared" ref="D3573:D3636" si="2948">A3573&amp;","</f>
        <v xml:space="preserve">    "resultPage": 9,</v>
      </c>
    </row>
    <row r="3574" spans="1:4" x14ac:dyDescent="0.55000000000000004">
      <c r="A3574" t="s">
        <v>763</v>
      </c>
      <c r="B3574" t="str">
        <f>VLOOKUP(B3573,Tabelle3!$A$2:$E$33,3,FALSE)</f>
        <v>Thrusting High</v>
      </c>
      <c r="C3574" t="s">
        <v>762</v>
      </c>
      <c r="D3574" t="str">
        <f t="shared" ref="D3574" si="2949">_xlfn.CONCAT(A3574:C3574)</f>
        <v xml:space="preserve">    "message":  "Thrusting High",</v>
      </c>
    </row>
    <row r="3575" spans="1:4" x14ac:dyDescent="0.55000000000000004">
      <c r="A3575" t="s">
        <v>764</v>
      </c>
      <c r="B3575" t="str">
        <f>VLOOKUP(B3573,Tabelle3!$A$2:$E$33,5,FALSE)</f>
        <v/>
      </c>
      <c r="C3575" t="s">
        <v>762</v>
      </c>
      <c r="D3575" t="str">
        <f t="shared" si="2904"/>
        <v xml:space="preserve">    "nextInstruction":  "",</v>
      </c>
    </row>
    <row r="3576" spans="1:4" x14ac:dyDescent="0.55000000000000004">
      <c r="A3576" t="s">
        <v>765</v>
      </c>
      <c r="B3576" t="str">
        <f>VLOOKUP(B3573,Tabelle3!$A$2:$E$33,4,FALSE)</f>
        <v>""</v>
      </c>
      <c r="D3576" t="str">
        <f t="shared" ref="D3576:D3639" si="2950">IF(ISNUMBER(B3576),(A3576&amp;B3576),"")</f>
        <v/>
      </c>
    </row>
    <row r="3577" spans="1:4" x14ac:dyDescent="0.55000000000000004">
      <c r="A3577" t="s">
        <v>6</v>
      </c>
      <c r="D3577" t="str">
        <f t="shared" ref="D3577:D3640" si="2951">A3577</f>
        <v xml:space="preserve">  },</v>
      </c>
    </row>
    <row r="3578" spans="1:4" x14ac:dyDescent="0.55000000000000004">
      <c r="A3578" t="s">
        <v>608</v>
      </c>
      <c r="D3578" t="str">
        <f t="shared" si="2951"/>
        <v xml:space="preserve">  "54-58": {</v>
      </c>
    </row>
    <row r="3579" spans="1:4" x14ac:dyDescent="0.55000000000000004">
      <c r="A3579" t="s">
        <v>609</v>
      </c>
      <c r="B3579">
        <f t="shared" ref="B3579" si="2952">_xlfn.NUMBERVALUE(RIGHT(A3579,2))</f>
        <v>47</v>
      </c>
      <c r="D3579" t="str">
        <f t="shared" ref="D3579:D3642" si="2953">A3579&amp;","</f>
        <v xml:space="preserve">    "resultPage": 47,</v>
      </c>
    </row>
    <row r="3580" spans="1:4" x14ac:dyDescent="0.55000000000000004">
      <c r="A3580" t="s">
        <v>763</v>
      </c>
      <c r="B3580" t="str">
        <f>VLOOKUP(B3579,Tabelle3!$A$2:$E$33,3,FALSE)</f>
        <v>Extended Range Leg Wound</v>
      </c>
      <c r="C3580" t="s">
        <v>762</v>
      </c>
      <c r="D3580" t="str">
        <f t="shared" ref="D3580" si="2954">_xlfn.CONCAT(A3580:C3580)</f>
        <v xml:space="preserve">    "message":  "Extended Range Leg Wound",</v>
      </c>
    </row>
    <row r="3581" spans="1:4" x14ac:dyDescent="0.55000000000000004">
      <c r="A3581" t="s">
        <v>764</v>
      </c>
      <c r="B3581" t="str">
        <f>VLOOKUP(B3579,Tabelle3!$A$2:$E$33,5,FALSE)</f>
        <v>Only Brown</v>
      </c>
      <c r="C3581" t="s">
        <v>762</v>
      </c>
      <c r="D3581" t="str">
        <f t="shared" si="2904"/>
        <v xml:space="preserve">    "nextInstruction":  "Only Brown",</v>
      </c>
    </row>
    <row r="3582" spans="1:4" x14ac:dyDescent="0.55000000000000004">
      <c r="A3582" t="s">
        <v>765</v>
      </c>
      <c r="B3582">
        <f>VLOOKUP(B3579,Tabelle3!$A$2:$E$33,4,FALSE)</f>
        <v>4</v>
      </c>
      <c r="D3582" t="str">
        <f t="shared" ref="D3582:D3645" si="2955">IF(ISNUMBER(B3582),(A3582&amp;B3582),"")</f>
        <v xml:space="preserve">    "damageModifier": 4</v>
      </c>
    </row>
    <row r="3583" spans="1:4" x14ac:dyDescent="0.55000000000000004">
      <c r="A3583" t="s">
        <v>6</v>
      </c>
      <c r="D3583" t="str">
        <f t="shared" ref="D3583:D3646" si="2956">A3583</f>
        <v xml:space="preserve">  },</v>
      </c>
    </row>
    <row r="3584" spans="1:4" x14ac:dyDescent="0.55000000000000004">
      <c r="A3584" t="s">
        <v>610</v>
      </c>
      <c r="D3584" t="str">
        <f t="shared" si="2956"/>
        <v xml:space="preserve">  "54-60": {</v>
      </c>
    </row>
    <row r="3585" spans="1:4" x14ac:dyDescent="0.55000000000000004">
      <c r="A3585" t="s">
        <v>138</v>
      </c>
      <c r="B3585">
        <f t="shared" ref="B3585" si="2957">_xlfn.NUMBERVALUE(RIGHT(A3585,2))</f>
        <v>13</v>
      </c>
      <c r="D3585" t="str">
        <f t="shared" ref="D3585:D3648" si="2958">A3585&amp;","</f>
        <v xml:space="preserve">    "resultPage": 13,</v>
      </c>
    </row>
    <row r="3586" spans="1:4" x14ac:dyDescent="0.55000000000000004">
      <c r="A3586" t="s">
        <v>763</v>
      </c>
      <c r="B3586" t="str">
        <f>VLOOKUP(B3585,Tabelle3!$A$2:$E$33,3,FALSE)</f>
        <v>Leg Wound</v>
      </c>
      <c r="C3586" t="s">
        <v>762</v>
      </c>
      <c r="D3586" t="str">
        <f t="shared" ref="D3586:D3647" si="2959">_xlfn.CONCAT(A3586:C3586)</f>
        <v xml:space="preserve">    "message":  "Leg Wound",</v>
      </c>
    </row>
    <row r="3587" spans="1:4" x14ac:dyDescent="0.55000000000000004">
      <c r="A3587" t="s">
        <v>764</v>
      </c>
      <c r="B3587" t="str">
        <f>VLOOKUP(B3585,Tabelle3!$A$2:$E$33,5,FALSE)</f>
        <v>No Orange</v>
      </c>
      <c r="C3587" t="s">
        <v>762</v>
      </c>
      <c r="D3587" t="str">
        <f t="shared" si="2959"/>
        <v xml:space="preserve">    "nextInstruction":  "No Orange",</v>
      </c>
    </row>
    <row r="3588" spans="1:4" x14ac:dyDescent="0.55000000000000004">
      <c r="A3588" t="s">
        <v>765</v>
      </c>
      <c r="B3588">
        <f>VLOOKUP(B3585,Tabelle3!$A$2:$E$33,4,FALSE)</f>
        <v>4</v>
      </c>
      <c r="D3588" t="str">
        <f t="shared" ref="D3588:D3651" si="2960">IF(ISNUMBER(B3588),(A3588&amp;B3588),"")</f>
        <v xml:space="preserve">    "damageModifier": 4</v>
      </c>
    </row>
    <row r="3589" spans="1:4" x14ac:dyDescent="0.55000000000000004">
      <c r="A3589" t="s">
        <v>6</v>
      </c>
      <c r="D3589" t="str">
        <f t="shared" ref="D3589:D3652" si="2961">A3589</f>
        <v xml:space="preserve">  },</v>
      </c>
    </row>
    <row r="3590" spans="1:4" x14ac:dyDescent="0.55000000000000004">
      <c r="A3590" t="s">
        <v>611</v>
      </c>
      <c r="D3590" t="str">
        <f t="shared" si="2961"/>
        <v xml:space="preserve">  "54-62": {</v>
      </c>
    </row>
    <row r="3591" spans="1:4" x14ac:dyDescent="0.55000000000000004">
      <c r="A3591" t="s">
        <v>15</v>
      </c>
      <c r="B3591">
        <f t="shared" ref="B3591" si="2962">_xlfn.NUMBERVALUE(RIGHT(A3591,2))</f>
        <v>57</v>
      </c>
      <c r="D3591" t="str">
        <f t="shared" ref="D3591:D3654" si="2963">A3591&amp;","</f>
        <v xml:space="preserve">    "resultPage": 57,</v>
      </c>
    </row>
    <row r="3592" spans="1:4" x14ac:dyDescent="0.55000000000000004">
      <c r="A3592" t="s">
        <v>763</v>
      </c>
      <c r="B3592" t="str">
        <f>VLOOKUP(B3591,Tabelle3!$A$2:$E$33,3,FALSE)</f>
        <v>Extended Range Blocking</v>
      </c>
      <c r="C3592" t="s">
        <v>762</v>
      </c>
      <c r="D3592" t="str">
        <f t="shared" ref="D3592" si="2964">_xlfn.CONCAT(A3592:C3592)</f>
        <v xml:space="preserve">    "message":  "Extended Range Blocking",</v>
      </c>
    </row>
    <row r="3593" spans="1:4" x14ac:dyDescent="0.55000000000000004">
      <c r="A3593" t="s">
        <v>764</v>
      </c>
      <c r="B3593" t="str">
        <f>VLOOKUP(B3591,Tabelle3!$A$2:$E$33,5,FALSE)</f>
        <v>Only Extended Range</v>
      </c>
      <c r="C3593" t="s">
        <v>762</v>
      </c>
      <c r="D3593" t="str">
        <f t="shared" si="2959"/>
        <v xml:space="preserve">    "nextInstruction":  "Only Extended Range",</v>
      </c>
    </row>
    <row r="3594" spans="1:4" x14ac:dyDescent="0.55000000000000004">
      <c r="A3594" t="s">
        <v>765</v>
      </c>
      <c r="B3594" t="str">
        <f>VLOOKUP(B3591,Tabelle3!$A$2:$E$33,4,FALSE)</f>
        <v>""</v>
      </c>
      <c r="D3594" t="str">
        <f t="shared" ref="D3594:D3657" si="2965">IF(ISNUMBER(B3594),(A3594&amp;B3594),"")</f>
        <v/>
      </c>
    </row>
    <row r="3595" spans="1:4" x14ac:dyDescent="0.55000000000000004">
      <c r="A3595" t="s">
        <v>6</v>
      </c>
      <c r="D3595" t="str">
        <f t="shared" ref="D3595:D3658" si="2966">A3595</f>
        <v xml:space="preserve">  },</v>
      </c>
    </row>
    <row r="3596" spans="1:4" x14ac:dyDescent="0.55000000000000004">
      <c r="A3596" t="s">
        <v>612</v>
      </c>
      <c r="D3596" t="str">
        <f t="shared" si="2966"/>
        <v xml:space="preserve">  "54-64": {</v>
      </c>
    </row>
    <row r="3597" spans="1:4" x14ac:dyDescent="0.55000000000000004">
      <c r="A3597" t="s">
        <v>65</v>
      </c>
      <c r="B3597">
        <f t="shared" ref="B3597" si="2967">_xlfn.NUMBERVALUE(RIGHT(A3597,2))</f>
        <v>9</v>
      </c>
      <c r="D3597" t="str">
        <f t="shared" ref="D3597:D3660" si="2968">A3597&amp;","</f>
        <v xml:space="preserve">    "resultPage": 9,</v>
      </c>
    </row>
    <row r="3598" spans="1:4" x14ac:dyDescent="0.55000000000000004">
      <c r="A3598" t="s">
        <v>763</v>
      </c>
      <c r="B3598" t="str">
        <f>VLOOKUP(B3597,Tabelle3!$A$2:$E$33,3,FALSE)</f>
        <v>Thrusting High</v>
      </c>
      <c r="C3598" t="s">
        <v>762</v>
      </c>
      <c r="D3598" t="str">
        <f t="shared" ref="D3598" si="2969">_xlfn.CONCAT(A3598:C3598)</f>
        <v xml:space="preserve">    "message":  "Thrusting High",</v>
      </c>
    </row>
    <row r="3599" spans="1:4" x14ac:dyDescent="0.55000000000000004">
      <c r="A3599" t="s">
        <v>764</v>
      </c>
      <c r="B3599" t="str">
        <f>VLOOKUP(B3597,Tabelle3!$A$2:$E$33,5,FALSE)</f>
        <v/>
      </c>
      <c r="C3599" t="s">
        <v>762</v>
      </c>
      <c r="D3599" t="str">
        <f t="shared" si="2959"/>
        <v xml:space="preserve">    "nextInstruction":  "",</v>
      </c>
    </row>
    <row r="3600" spans="1:4" x14ac:dyDescent="0.55000000000000004">
      <c r="A3600" t="s">
        <v>765</v>
      </c>
      <c r="B3600" t="str">
        <f>VLOOKUP(B3597,Tabelle3!$A$2:$E$33,4,FALSE)</f>
        <v>""</v>
      </c>
      <c r="D3600" t="str">
        <f t="shared" ref="D3600:D3663" si="2970">IF(ISNUMBER(B3600),(A3600&amp;B3600),"")</f>
        <v/>
      </c>
    </row>
    <row r="3601" spans="1:4" x14ac:dyDescent="0.55000000000000004">
      <c r="A3601" t="s">
        <v>6</v>
      </c>
      <c r="D3601" t="str">
        <f t="shared" ref="D3601:D3664" si="2971">A3601</f>
        <v xml:space="preserve">  },</v>
      </c>
    </row>
    <row r="3602" spans="1:4" x14ac:dyDescent="0.55000000000000004">
      <c r="A3602" t="s">
        <v>613</v>
      </c>
      <c r="D3602" t="str">
        <f t="shared" si="2971"/>
        <v xml:space="preserve">  "56-50": {</v>
      </c>
    </row>
    <row r="3603" spans="1:4" x14ac:dyDescent="0.55000000000000004">
      <c r="A3603" t="s">
        <v>63</v>
      </c>
      <c r="B3603">
        <f t="shared" ref="B3603" si="2972">_xlfn.NUMBERVALUE(RIGHT(A3603,2))</f>
        <v>17</v>
      </c>
      <c r="D3603" t="str">
        <f t="shared" ref="D3603:D3666" si="2973">A3603&amp;","</f>
        <v xml:space="preserve">    "resultPage": 17,</v>
      </c>
    </row>
    <row r="3604" spans="1:4" x14ac:dyDescent="0.55000000000000004">
      <c r="A3604" t="s">
        <v>763</v>
      </c>
      <c r="B3604" t="str">
        <f>VLOOKUP(B3603,Tabelle3!$A$2:$E$33,3,FALSE)</f>
        <v>Blocking High</v>
      </c>
      <c r="C3604" t="s">
        <v>762</v>
      </c>
      <c r="D3604" t="str">
        <f t="shared" ref="D3604" si="2974">_xlfn.CONCAT(A3604:C3604)</f>
        <v xml:space="preserve">    "message":  "Blocking High",</v>
      </c>
    </row>
    <row r="3605" spans="1:4" x14ac:dyDescent="0.55000000000000004">
      <c r="A3605" t="s">
        <v>764</v>
      </c>
      <c r="B3605" t="str">
        <f>VLOOKUP(B3603,Tabelle3!$A$2:$E$33,5,FALSE)</f>
        <v>No Blue</v>
      </c>
      <c r="C3605" t="s">
        <v>762</v>
      </c>
      <c r="D3605" t="str">
        <f t="shared" si="2959"/>
        <v xml:space="preserve">    "nextInstruction":  "No Blue",</v>
      </c>
    </row>
    <row r="3606" spans="1:4" x14ac:dyDescent="0.55000000000000004">
      <c r="A3606" t="s">
        <v>765</v>
      </c>
      <c r="B3606">
        <f>VLOOKUP(B3603,Tabelle3!$A$2:$E$33,4,FALSE)</f>
        <v>-4</v>
      </c>
      <c r="D3606" t="str">
        <f t="shared" ref="D3606:D3669" si="2975">IF(ISNUMBER(B3606),(A3606&amp;B3606),"")</f>
        <v xml:space="preserve">    "damageModifier": -4</v>
      </c>
    </row>
    <row r="3607" spans="1:4" x14ac:dyDescent="0.55000000000000004">
      <c r="A3607" t="s">
        <v>6</v>
      </c>
      <c r="D3607" t="str">
        <f t="shared" ref="D3607:D3670" si="2976">A3607</f>
        <v xml:space="preserve">  },</v>
      </c>
    </row>
    <row r="3608" spans="1:4" x14ac:dyDescent="0.55000000000000004">
      <c r="A3608" t="s">
        <v>614</v>
      </c>
      <c r="D3608" t="str">
        <f t="shared" si="2976"/>
        <v xml:space="preserve">  "56-52": {</v>
      </c>
    </row>
    <row r="3609" spans="1:4" x14ac:dyDescent="0.55000000000000004">
      <c r="A3609" t="s">
        <v>15</v>
      </c>
      <c r="B3609">
        <f t="shared" ref="B3609" si="2977">_xlfn.NUMBERVALUE(RIGHT(A3609,2))</f>
        <v>57</v>
      </c>
      <c r="D3609" t="str">
        <f t="shared" ref="D3609:D3672" si="2978">A3609&amp;","</f>
        <v xml:space="preserve">    "resultPage": 57,</v>
      </c>
    </row>
    <row r="3610" spans="1:4" x14ac:dyDescent="0.55000000000000004">
      <c r="A3610" t="s">
        <v>763</v>
      </c>
      <c r="B3610" t="str">
        <f>VLOOKUP(B3609,Tabelle3!$A$2:$E$33,3,FALSE)</f>
        <v>Extended Range Blocking</v>
      </c>
      <c r="C3610" t="s">
        <v>762</v>
      </c>
      <c r="D3610" t="str">
        <f t="shared" ref="D3610" si="2979">_xlfn.CONCAT(A3610:C3610)</f>
        <v xml:space="preserve">    "message":  "Extended Range Blocking",</v>
      </c>
    </row>
    <row r="3611" spans="1:4" x14ac:dyDescent="0.55000000000000004">
      <c r="A3611" t="s">
        <v>764</v>
      </c>
      <c r="B3611" t="str">
        <f>VLOOKUP(B3609,Tabelle3!$A$2:$E$33,5,FALSE)</f>
        <v>Only Extended Range</v>
      </c>
      <c r="C3611" t="s">
        <v>762</v>
      </c>
      <c r="D3611" t="str">
        <f t="shared" si="2959"/>
        <v xml:space="preserve">    "nextInstruction":  "Only Extended Range",</v>
      </c>
    </row>
    <row r="3612" spans="1:4" x14ac:dyDescent="0.55000000000000004">
      <c r="A3612" t="s">
        <v>765</v>
      </c>
      <c r="B3612" t="str">
        <f>VLOOKUP(B3609,Tabelle3!$A$2:$E$33,4,FALSE)</f>
        <v>""</v>
      </c>
      <c r="D3612" t="str">
        <f t="shared" ref="D3612:D3675" si="2980">IF(ISNUMBER(B3612),(A3612&amp;B3612),"")</f>
        <v/>
      </c>
    </row>
    <row r="3613" spans="1:4" x14ac:dyDescent="0.55000000000000004">
      <c r="A3613" t="s">
        <v>6</v>
      </c>
      <c r="D3613" t="str">
        <f t="shared" ref="D3613:D3676" si="2981">A3613</f>
        <v xml:space="preserve">  },</v>
      </c>
    </row>
    <row r="3614" spans="1:4" x14ac:dyDescent="0.55000000000000004">
      <c r="A3614" t="s">
        <v>615</v>
      </c>
      <c r="D3614" t="str">
        <f t="shared" si="2981"/>
        <v xml:space="preserve">  "56-54": {</v>
      </c>
    </row>
    <row r="3615" spans="1:4" x14ac:dyDescent="0.55000000000000004">
      <c r="A3615" t="s">
        <v>63</v>
      </c>
      <c r="B3615">
        <f t="shared" ref="B3615" si="2982">_xlfn.NUMBERVALUE(RIGHT(A3615,2))</f>
        <v>17</v>
      </c>
      <c r="D3615" t="str">
        <f t="shared" ref="D3615:D3678" si="2983">A3615&amp;","</f>
        <v xml:space="preserve">    "resultPage": 17,</v>
      </c>
    </row>
    <row r="3616" spans="1:4" x14ac:dyDescent="0.55000000000000004">
      <c r="A3616" t="s">
        <v>763</v>
      </c>
      <c r="B3616" t="str">
        <f>VLOOKUP(B3615,Tabelle3!$A$2:$E$33,3,FALSE)</f>
        <v>Blocking High</v>
      </c>
      <c r="C3616" t="s">
        <v>762</v>
      </c>
      <c r="D3616" t="str">
        <f t="shared" ref="D3616" si="2984">_xlfn.CONCAT(A3616:C3616)</f>
        <v xml:space="preserve">    "message":  "Blocking High",</v>
      </c>
    </row>
    <row r="3617" spans="1:4" x14ac:dyDescent="0.55000000000000004">
      <c r="A3617" t="s">
        <v>764</v>
      </c>
      <c r="B3617" t="str">
        <f>VLOOKUP(B3615,Tabelle3!$A$2:$E$33,5,FALSE)</f>
        <v>No Blue</v>
      </c>
      <c r="C3617" t="s">
        <v>762</v>
      </c>
      <c r="D3617" t="str">
        <f t="shared" si="2959"/>
        <v xml:space="preserve">    "nextInstruction":  "No Blue",</v>
      </c>
    </row>
    <row r="3618" spans="1:4" x14ac:dyDescent="0.55000000000000004">
      <c r="A3618" t="s">
        <v>765</v>
      </c>
      <c r="B3618">
        <f>VLOOKUP(B3615,Tabelle3!$A$2:$E$33,4,FALSE)</f>
        <v>-4</v>
      </c>
      <c r="D3618" t="str">
        <f t="shared" ref="D3618:D3681" si="2985">IF(ISNUMBER(B3618),(A3618&amp;B3618),"")</f>
        <v xml:space="preserve">    "damageModifier": -4</v>
      </c>
    </row>
    <row r="3619" spans="1:4" x14ac:dyDescent="0.55000000000000004">
      <c r="A3619" t="s">
        <v>6</v>
      </c>
      <c r="D3619" t="str">
        <f t="shared" ref="D3619:D3682" si="2986">A3619</f>
        <v xml:space="preserve">  },</v>
      </c>
    </row>
    <row r="3620" spans="1:4" x14ac:dyDescent="0.55000000000000004">
      <c r="A3620" t="s">
        <v>616</v>
      </c>
      <c r="D3620" t="str">
        <f t="shared" si="2986"/>
        <v xml:space="preserve">  "56-56": {</v>
      </c>
    </row>
    <row r="3621" spans="1:4" x14ac:dyDescent="0.55000000000000004">
      <c r="A3621" t="s">
        <v>63</v>
      </c>
      <c r="B3621">
        <f t="shared" ref="B3621" si="2987">_xlfn.NUMBERVALUE(RIGHT(A3621,2))</f>
        <v>17</v>
      </c>
      <c r="D3621" t="str">
        <f t="shared" ref="D3621:D3684" si="2988">A3621&amp;","</f>
        <v xml:space="preserve">    "resultPage": 17,</v>
      </c>
    </row>
    <row r="3622" spans="1:4" x14ac:dyDescent="0.55000000000000004">
      <c r="A3622" t="s">
        <v>763</v>
      </c>
      <c r="B3622" t="str">
        <f>VLOOKUP(B3621,Tabelle3!$A$2:$E$33,3,FALSE)</f>
        <v>Blocking High</v>
      </c>
      <c r="C3622" t="s">
        <v>762</v>
      </c>
      <c r="D3622" t="str">
        <f t="shared" ref="D3622" si="2989">_xlfn.CONCAT(A3622:C3622)</f>
        <v xml:space="preserve">    "message":  "Blocking High",</v>
      </c>
    </row>
    <row r="3623" spans="1:4" x14ac:dyDescent="0.55000000000000004">
      <c r="A3623" t="s">
        <v>764</v>
      </c>
      <c r="B3623" t="str">
        <f>VLOOKUP(B3621,Tabelle3!$A$2:$E$33,5,FALSE)</f>
        <v>No Blue</v>
      </c>
      <c r="C3623" t="s">
        <v>762</v>
      </c>
      <c r="D3623" t="str">
        <f t="shared" si="2959"/>
        <v xml:space="preserve">    "nextInstruction":  "No Blue",</v>
      </c>
    </row>
    <row r="3624" spans="1:4" x14ac:dyDescent="0.55000000000000004">
      <c r="A3624" t="s">
        <v>765</v>
      </c>
      <c r="B3624">
        <f>VLOOKUP(B3621,Tabelle3!$A$2:$E$33,4,FALSE)</f>
        <v>-4</v>
      </c>
      <c r="D3624" t="str">
        <f t="shared" ref="D3624:D3687" si="2990">IF(ISNUMBER(B3624),(A3624&amp;B3624),"")</f>
        <v xml:space="preserve">    "damageModifier": -4</v>
      </c>
    </row>
    <row r="3625" spans="1:4" x14ac:dyDescent="0.55000000000000004">
      <c r="A3625" t="s">
        <v>6</v>
      </c>
      <c r="D3625" t="str">
        <f t="shared" ref="D3625:D3688" si="2991">A3625</f>
        <v xml:space="preserve">  },</v>
      </c>
    </row>
    <row r="3626" spans="1:4" x14ac:dyDescent="0.55000000000000004">
      <c r="A3626" t="s">
        <v>617</v>
      </c>
      <c r="D3626" t="str">
        <f t="shared" si="2991"/>
        <v xml:space="preserve">  "56-58": {</v>
      </c>
    </row>
    <row r="3627" spans="1:4" x14ac:dyDescent="0.55000000000000004">
      <c r="A3627" t="s">
        <v>609</v>
      </c>
      <c r="B3627">
        <f t="shared" ref="B3627" si="2992">_xlfn.NUMBERVALUE(RIGHT(A3627,2))</f>
        <v>47</v>
      </c>
      <c r="D3627" t="str">
        <f t="shared" ref="D3627:D3690" si="2993">A3627&amp;","</f>
        <v xml:space="preserve">    "resultPage": 47,</v>
      </c>
    </row>
    <row r="3628" spans="1:4" x14ac:dyDescent="0.55000000000000004">
      <c r="A3628" t="s">
        <v>763</v>
      </c>
      <c r="B3628" t="str">
        <f>VLOOKUP(B3627,Tabelle3!$A$2:$E$33,3,FALSE)</f>
        <v>Extended Range Leg Wound</v>
      </c>
      <c r="C3628" t="s">
        <v>762</v>
      </c>
      <c r="D3628" t="str">
        <f t="shared" ref="D3628" si="2994">_xlfn.CONCAT(A3628:C3628)</f>
        <v xml:space="preserve">    "message":  "Extended Range Leg Wound",</v>
      </c>
    </row>
    <row r="3629" spans="1:4" x14ac:dyDescent="0.55000000000000004">
      <c r="A3629" t="s">
        <v>764</v>
      </c>
      <c r="B3629" t="str">
        <f>VLOOKUP(B3627,Tabelle3!$A$2:$E$33,5,FALSE)</f>
        <v>Only Brown</v>
      </c>
      <c r="C3629" t="s">
        <v>762</v>
      </c>
      <c r="D3629" t="str">
        <f t="shared" si="2959"/>
        <v xml:space="preserve">    "nextInstruction":  "Only Brown",</v>
      </c>
    </row>
    <row r="3630" spans="1:4" x14ac:dyDescent="0.55000000000000004">
      <c r="A3630" t="s">
        <v>765</v>
      </c>
      <c r="B3630">
        <f>VLOOKUP(B3627,Tabelle3!$A$2:$E$33,4,FALSE)</f>
        <v>4</v>
      </c>
      <c r="D3630" t="str">
        <f t="shared" ref="D3630:D3693" si="2995">IF(ISNUMBER(B3630),(A3630&amp;B3630),"")</f>
        <v xml:space="preserve">    "damageModifier": 4</v>
      </c>
    </row>
    <row r="3631" spans="1:4" x14ac:dyDescent="0.55000000000000004">
      <c r="A3631" t="s">
        <v>6</v>
      </c>
      <c r="D3631" t="str">
        <f t="shared" ref="D3631:D3694" si="2996">A3631</f>
        <v xml:space="preserve">  },</v>
      </c>
    </row>
    <row r="3632" spans="1:4" x14ac:dyDescent="0.55000000000000004">
      <c r="A3632" t="s">
        <v>618</v>
      </c>
      <c r="D3632" t="str">
        <f t="shared" si="2996"/>
        <v xml:space="preserve">  "56-60": {</v>
      </c>
    </row>
    <row r="3633" spans="1:4" x14ac:dyDescent="0.55000000000000004">
      <c r="A3633" t="s">
        <v>15</v>
      </c>
      <c r="B3633">
        <f t="shared" ref="B3633" si="2997">_xlfn.NUMBERVALUE(RIGHT(A3633,2))</f>
        <v>57</v>
      </c>
      <c r="D3633" t="str">
        <f t="shared" ref="D3633:D3696" si="2998">A3633&amp;","</f>
        <v xml:space="preserve">    "resultPage": 57,</v>
      </c>
    </row>
    <row r="3634" spans="1:4" x14ac:dyDescent="0.55000000000000004">
      <c r="A3634" t="s">
        <v>763</v>
      </c>
      <c r="B3634" t="str">
        <f>VLOOKUP(B3633,Tabelle3!$A$2:$E$33,3,FALSE)</f>
        <v>Extended Range Blocking</v>
      </c>
      <c r="C3634" t="s">
        <v>762</v>
      </c>
      <c r="D3634" t="str">
        <f t="shared" ref="D3634" si="2999">_xlfn.CONCAT(A3634:C3634)</f>
        <v xml:space="preserve">    "message":  "Extended Range Blocking",</v>
      </c>
    </row>
    <row r="3635" spans="1:4" x14ac:dyDescent="0.55000000000000004">
      <c r="A3635" t="s">
        <v>764</v>
      </c>
      <c r="B3635" t="str">
        <f>VLOOKUP(B3633,Tabelle3!$A$2:$E$33,5,FALSE)</f>
        <v>Only Extended Range</v>
      </c>
      <c r="C3635" t="s">
        <v>762</v>
      </c>
      <c r="D3635" t="str">
        <f t="shared" si="2959"/>
        <v xml:space="preserve">    "nextInstruction":  "Only Extended Range",</v>
      </c>
    </row>
    <row r="3636" spans="1:4" x14ac:dyDescent="0.55000000000000004">
      <c r="A3636" t="s">
        <v>765</v>
      </c>
      <c r="B3636" t="str">
        <f>VLOOKUP(B3633,Tabelle3!$A$2:$E$33,4,FALSE)</f>
        <v>""</v>
      </c>
      <c r="D3636" t="str">
        <f t="shared" ref="D3636:D3699" si="3000">IF(ISNUMBER(B3636),(A3636&amp;B3636),"")</f>
        <v/>
      </c>
    </row>
    <row r="3637" spans="1:4" x14ac:dyDescent="0.55000000000000004">
      <c r="A3637" t="s">
        <v>6</v>
      </c>
      <c r="D3637" t="str">
        <f t="shared" ref="D3637:D3700" si="3001">A3637</f>
        <v xml:space="preserve">  },</v>
      </c>
    </row>
    <row r="3638" spans="1:4" x14ac:dyDescent="0.55000000000000004">
      <c r="A3638" t="s">
        <v>619</v>
      </c>
      <c r="D3638" t="str">
        <f t="shared" si="3001"/>
        <v xml:space="preserve">  "56-62": {</v>
      </c>
    </row>
    <row r="3639" spans="1:4" x14ac:dyDescent="0.55000000000000004">
      <c r="A3639" t="s">
        <v>15</v>
      </c>
      <c r="B3639">
        <f t="shared" ref="B3639" si="3002">_xlfn.NUMBERVALUE(RIGHT(A3639,2))</f>
        <v>57</v>
      </c>
      <c r="D3639" t="str">
        <f t="shared" ref="D3639:D3702" si="3003">A3639&amp;","</f>
        <v xml:space="preserve">    "resultPage": 57,</v>
      </c>
    </row>
    <row r="3640" spans="1:4" x14ac:dyDescent="0.55000000000000004">
      <c r="A3640" t="s">
        <v>763</v>
      </c>
      <c r="B3640" t="str">
        <f>VLOOKUP(B3639,Tabelle3!$A$2:$E$33,3,FALSE)</f>
        <v>Extended Range Blocking</v>
      </c>
      <c r="C3640" t="s">
        <v>762</v>
      </c>
      <c r="D3640" t="str">
        <f t="shared" ref="D3640" si="3004">_xlfn.CONCAT(A3640:C3640)</f>
        <v xml:space="preserve">    "message":  "Extended Range Blocking",</v>
      </c>
    </row>
    <row r="3641" spans="1:4" x14ac:dyDescent="0.55000000000000004">
      <c r="A3641" t="s">
        <v>764</v>
      </c>
      <c r="B3641" t="str">
        <f>VLOOKUP(B3639,Tabelle3!$A$2:$E$33,5,FALSE)</f>
        <v>Only Extended Range</v>
      </c>
      <c r="C3641" t="s">
        <v>762</v>
      </c>
      <c r="D3641" t="str">
        <f t="shared" si="2959"/>
        <v xml:space="preserve">    "nextInstruction":  "Only Extended Range",</v>
      </c>
    </row>
    <row r="3642" spans="1:4" x14ac:dyDescent="0.55000000000000004">
      <c r="A3642" t="s">
        <v>765</v>
      </c>
      <c r="B3642" t="str">
        <f>VLOOKUP(B3639,Tabelle3!$A$2:$E$33,4,FALSE)</f>
        <v>""</v>
      </c>
      <c r="D3642" t="str">
        <f t="shared" ref="D3642:D3705" si="3005">IF(ISNUMBER(B3642),(A3642&amp;B3642),"")</f>
        <v/>
      </c>
    </row>
    <row r="3643" spans="1:4" x14ac:dyDescent="0.55000000000000004">
      <c r="A3643" t="s">
        <v>6</v>
      </c>
      <c r="D3643" t="str">
        <f t="shared" ref="D3643:D3674" si="3006">A3643</f>
        <v xml:space="preserve">  },</v>
      </c>
    </row>
    <row r="3644" spans="1:4" x14ac:dyDescent="0.55000000000000004">
      <c r="A3644" t="s">
        <v>620</v>
      </c>
      <c r="D3644" t="str">
        <f t="shared" si="3006"/>
        <v xml:space="preserve">  "56-64": {</v>
      </c>
    </row>
    <row r="3645" spans="1:4" x14ac:dyDescent="0.55000000000000004">
      <c r="A3645" t="s">
        <v>63</v>
      </c>
      <c r="B3645">
        <f t="shared" ref="B3645" si="3007">_xlfn.NUMBERVALUE(RIGHT(A3645,2))</f>
        <v>17</v>
      </c>
      <c r="D3645" t="str">
        <f t="shared" ref="D3645:D3676" si="3008">A3645&amp;","</f>
        <v xml:space="preserve">    "resultPage": 17,</v>
      </c>
    </row>
    <row r="3646" spans="1:4" x14ac:dyDescent="0.55000000000000004">
      <c r="A3646" t="s">
        <v>763</v>
      </c>
      <c r="B3646" t="str">
        <f>VLOOKUP(B3645,Tabelle3!$A$2:$E$33,3,FALSE)</f>
        <v>Blocking High</v>
      </c>
      <c r="C3646" t="s">
        <v>762</v>
      </c>
      <c r="D3646" t="str">
        <f t="shared" ref="D3646" si="3009">_xlfn.CONCAT(A3646:C3646)</f>
        <v xml:space="preserve">    "message":  "Blocking High",</v>
      </c>
    </row>
    <row r="3647" spans="1:4" x14ac:dyDescent="0.55000000000000004">
      <c r="A3647" t="s">
        <v>764</v>
      </c>
      <c r="B3647" t="str">
        <f>VLOOKUP(B3645,Tabelle3!$A$2:$E$33,5,FALSE)</f>
        <v>No Blue</v>
      </c>
      <c r="C3647" t="s">
        <v>762</v>
      </c>
      <c r="D3647" t="str">
        <f t="shared" si="2959"/>
        <v xml:space="preserve">    "nextInstruction":  "No Blue",</v>
      </c>
    </row>
    <row r="3648" spans="1:4" x14ac:dyDescent="0.55000000000000004">
      <c r="A3648" t="s">
        <v>765</v>
      </c>
      <c r="B3648">
        <f>VLOOKUP(B3645,Tabelle3!$A$2:$E$33,4,FALSE)</f>
        <v>-4</v>
      </c>
      <c r="D3648" t="str">
        <f t="shared" ref="D3648:D3679" si="3010">IF(ISNUMBER(B3648),(A3648&amp;B3648),"")</f>
        <v xml:space="preserve">    "damageModifier": -4</v>
      </c>
    </row>
    <row r="3649" spans="1:4" x14ac:dyDescent="0.55000000000000004">
      <c r="A3649" t="s">
        <v>6</v>
      </c>
      <c r="D3649" t="str">
        <f t="shared" ref="D3649:D3680" si="3011">A3649</f>
        <v xml:space="preserve">  },</v>
      </c>
    </row>
    <row r="3650" spans="1:4" x14ac:dyDescent="0.55000000000000004">
      <c r="A3650" t="s">
        <v>621</v>
      </c>
      <c r="D3650" t="str">
        <f t="shared" si="3011"/>
        <v xml:space="preserve">  "58-50": {</v>
      </c>
    </row>
    <row r="3651" spans="1:4" x14ac:dyDescent="0.55000000000000004">
      <c r="A3651" t="s">
        <v>47</v>
      </c>
      <c r="B3651">
        <f t="shared" ref="B3651" si="3012">_xlfn.NUMBERVALUE(RIGHT(A3651,2))</f>
        <v>41</v>
      </c>
      <c r="D3651" t="str">
        <f t="shared" ref="D3651:D3682" si="3013">A3651&amp;","</f>
        <v xml:space="preserve">    "resultPage": 41,</v>
      </c>
    </row>
    <row r="3652" spans="1:4" x14ac:dyDescent="0.55000000000000004">
      <c r="A3652" t="s">
        <v>763</v>
      </c>
      <c r="B3652" t="str">
        <f>VLOOKUP(B3651,Tabelle3!$A$2:$E$33,3,FALSE)</f>
        <v>Knocked Down</v>
      </c>
      <c r="C3652" t="s">
        <v>762</v>
      </c>
      <c r="D3652" t="str">
        <f t="shared" ref="D3652:D3713" si="3014">_xlfn.CONCAT(A3652:C3652)</f>
        <v xml:space="preserve">    "message":  "Knocked Down",</v>
      </c>
    </row>
    <row r="3653" spans="1:4" x14ac:dyDescent="0.55000000000000004">
      <c r="A3653" t="s">
        <v>764</v>
      </c>
      <c r="B3653" t="str">
        <f>VLOOKUP(B3651,Tabelle3!$A$2:$E$33,5,FALSE)</f>
        <v>Only Yellow No Orange</v>
      </c>
      <c r="C3653" t="s">
        <v>762</v>
      </c>
      <c r="D3653" t="str">
        <f t="shared" si="3014"/>
        <v xml:space="preserve">    "nextInstruction":  "Only Yellow No Orange",</v>
      </c>
    </row>
    <row r="3654" spans="1:4" x14ac:dyDescent="0.55000000000000004">
      <c r="A3654" t="s">
        <v>765</v>
      </c>
      <c r="B3654">
        <f>VLOOKUP(B3651,Tabelle3!$A$2:$E$33,4,FALSE)</f>
        <v>0</v>
      </c>
      <c r="D3654" t="str">
        <f t="shared" ref="D3654:D3685" si="3015">IF(ISNUMBER(B3654),(A3654&amp;B3654),"")</f>
        <v xml:space="preserve">    "damageModifier": 0</v>
      </c>
    </row>
    <row r="3655" spans="1:4" x14ac:dyDescent="0.55000000000000004">
      <c r="A3655" t="s">
        <v>6</v>
      </c>
      <c r="D3655" t="str">
        <f t="shared" ref="D3655:D3686" si="3016">A3655</f>
        <v xml:space="preserve">  },</v>
      </c>
    </row>
    <row r="3656" spans="1:4" x14ac:dyDescent="0.55000000000000004">
      <c r="A3656" t="s">
        <v>622</v>
      </c>
      <c r="D3656" t="str">
        <f t="shared" si="3016"/>
        <v xml:space="preserve">  "58-52": {</v>
      </c>
    </row>
    <row r="3657" spans="1:4" x14ac:dyDescent="0.55000000000000004">
      <c r="A3657" t="s">
        <v>5</v>
      </c>
      <c r="B3657">
        <f t="shared" ref="B3657" si="3017">_xlfn.NUMBERVALUE(RIGHT(A3657,2))</f>
        <v>5</v>
      </c>
      <c r="D3657" t="str">
        <f t="shared" ref="D3657:D3688" si="3018">A3657&amp;","</f>
        <v xml:space="preserve">    "resultPage": 5,</v>
      </c>
    </row>
    <row r="3658" spans="1:4" x14ac:dyDescent="0.55000000000000004">
      <c r="A3658" t="s">
        <v>763</v>
      </c>
      <c r="B3658" t="str">
        <f>VLOOKUP(B3657,Tabelle3!$A$2:$E$33,3,FALSE)</f>
        <v>Swinging Low</v>
      </c>
      <c r="C3658" t="s">
        <v>762</v>
      </c>
      <c r="D3658" t="str">
        <f t="shared" ref="D3658" si="3019">_xlfn.CONCAT(A3658:C3658)</f>
        <v xml:space="preserve">    "message":  "Swinging Low",</v>
      </c>
    </row>
    <row r="3659" spans="1:4" x14ac:dyDescent="0.55000000000000004">
      <c r="A3659" t="s">
        <v>764</v>
      </c>
      <c r="B3659" t="str">
        <f>VLOOKUP(B3657,Tabelle3!$A$2:$E$33,5,FALSE)</f>
        <v>No Blue</v>
      </c>
      <c r="C3659" t="s">
        <v>762</v>
      </c>
      <c r="D3659" t="str">
        <f t="shared" si="3014"/>
        <v xml:space="preserve">    "nextInstruction":  "No Blue",</v>
      </c>
    </row>
    <row r="3660" spans="1:4" x14ac:dyDescent="0.55000000000000004">
      <c r="A3660" t="s">
        <v>765</v>
      </c>
      <c r="B3660" t="str">
        <f>VLOOKUP(B3657,Tabelle3!$A$2:$E$33,4,FALSE)</f>
        <v>""</v>
      </c>
      <c r="D3660" t="str">
        <f t="shared" ref="D3660:D3691" si="3020">IF(ISNUMBER(B3660),(A3660&amp;B3660),"")</f>
        <v/>
      </c>
    </row>
    <row r="3661" spans="1:4" x14ac:dyDescent="0.55000000000000004">
      <c r="A3661" t="s">
        <v>6</v>
      </c>
      <c r="D3661" t="str">
        <f t="shared" ref="D3661:D3692" si="3021">A3661</f>
        <v xml:space="preserve">  },</v>
      </c>
    </row>
    <row r="3662" spans="1:4" x14ac:dyDescent="0.55000000000000004">
      <c r="A3662" t="s">
        <v>623</v>
      </c>
      <c r="D3662" t="str">
        <f t="shared" si="3021"/>
        <v xml:space="preserve">  "58-54": {</v>
      </c>
    </row>
    <row r="3663" spans="1:4" x14ac:dyDescent="0.55000000000000004">
      <c r="A3663" t="s">
        <v>603</v>
      </c>
      <c r="B3663">
        <f t="shared" ref="B3663" si="3022">_xlfn.NUMBERVALUE(RIGHT(A3663,2))</f>
        <v>35</v>
      </c>
      <c r="D3663" t="str">
        <f t="shared" ref="D3663:D3694" si="3023">A3663&amp;","</f>
        <v xml:space="preserve">    "resultPage": 35,</v>
      </c>
    </row>
    <row r="3664" spans="1:4" x14ac:dyDescent="0.55000000000000004">
      <c r="A3664" t="s">
        <v>763</v>
      </c>
      <c r="B3664" t="str">
        <f>VLOOKUP(B3663,Tabelle3!$A$2:$E$33,3,FALSE)</f>
        <v>Extended Range Body Wound</v>
      </c>
      <c r="C3664" t="s">
        <v>762</v>
      </c>
      <c r="D3664" t="str">
        <f t="shared" ref="D3664" si="3024">_xlfn.CONCAT(A3664:C3664)</f>
        <v xml:space="preserve">    "message":  "Extended Range Body Wound",</v>
      </c>
    </row>
    <row r="3665" spans="1:4" x14ac:dyDescent="0.55000000000000004">
      <c r="A3665" t="s">
        <v>764</v>
      </c>
      <c r="B3665" t="str">
        <f>VLOOKUP(B3663,Tabelle3!$A$2:$E$33,5,FALSE)</f>
        <v>Only Brown</v>
      </c>
      <c r="C3665" t="s">
        <v>762</v>
      </c>
      <c r="D3665" t="str">
        <f t="shared" si="3014"/>
        <v xml:space="preserve">    "nextInstruction":  "Only Brown",</v>
      </c>
    </row>
    <row r="3666" spans="1:4" x14ac:dyDescent="0.55000000000000004">
      <c r="A3666" t="s">
        <v>765</v>
      </c>
      <c r="B3666">
        <f>VLOOKUP(B3663,Tabelle3!$A$2:$E$33,4,FALSE)</f>
        <v>4</v>
      </c>
      <c r="D3666" t="str">
        <f t="shared" ref="D3666:D3697" si="3025">IF(ISNUMBER(B3666),(A3666&amp;B3666),"")</f>
        <v xml:space="preserve">    "damageModifier": 4</v>
      </c>
    </row>
    <row r="3667" spans="1:4" x14ac:dyDescent="0.55000000000000004">
      <c r="A3667" t="s">
        <v>6</v>
      </c>
      <c r="D3667" t="str">
        <f t="shared" ref="D3667:D3698" si="3026">A3667</f>
        <v xml:space="preserve">  },</v>
      </c>
    </row>
    <row r="3668" spans="1:4" x14ac:dyDescent="0.55000000000000004">
      <c r="A3668" t="s">
        <v>624</v>
      </c>
      <c r="D3668" t="str">
        <f t="shared" si="3026"/>
        <v xml:space="preserve">  "58-56": {</v>
      </c>
    </row>
    <row r="3669" spans="1:4" x14ac:dyDescent="0.55000000000000004">
      <c r="A3669" t="s">
        <v>15</v>
      </c>
      <c r="B3669">
        <f t="shared" ref="B3669" si="3027">_xlfn.NUMBERVALUE(RIGHT(A3669,2))</f>
        <v>57</v>
      </c>
      <c r="D3669" t="str">
        <f t="shared" ref="D3669:D3700" si="3028">A3669&amp;","</f>
        <v xml:space="preserve">    "resultPage": 57,</v>
      </c>
    </row>
    <row r="3670" spans="1:4" x14ac:dyDescent="0.55000000000000004">
      <c r="A3670" t="s">
        <v>763</v>
      </c>
      <c r="B3670" t="str">
        <f>VLOOKUP(B3669,Tabelle3!$A$2:$E$33,3,FALSE)</f>
        <v>Extended Range Blocking</v>
      </c>
      <c r="C3670" t="s">
        <v>762</v>
      </c>
      <c r="D3670" t="str">
        <f t="shared" ref="D3670" si="3029">_xlfn.CONCAT(A3670:C3670)</f>
        <v xml:space="preserve">    "message":  "Extended Range Blocking",</v>
      </c>
    </row>
    <row r="3671" spans="1:4" x14ac:dyDescent="0.55000000000000004">
      <c r="A3671" t="s">
        <v>764</v>
      </c>
      <c r="B3671" t="str">
        <f>VLOOKUP(B3669,Tabelle3!$A$2:$E$33,5,FALSE)</f>
        <v>Only Extended Range</v>
      </c>
      <c r="C3671" t="s">
        <v>762</v>
      </c>
      <c r="D3671" t="str">
        <f t="shared" si="3014"/>
        <v xml:space="preserve">    "nextInstruction":  "Only Extended Range",</v>
      </c>
    </row>
    <row r="3672" spans="1:4" x14ac:dyDescent="0.55000000000000004">
      <c r="A3672" t="s">
        <v>765</v>
      </c>
      <c r="B3672" t="str">
        <f>VLOOKUP(B3669,Tabelle3!$A$2:$E$33,4,FALSE)</f>
        <v>""</v>
      </c>
      <c r="D3672" t="str">
        <f t="shared" ref="D3672:D3703" si="3030">IF(ISNUMBER(B3672),(A3672&amp;B3672),"")</f>
        <v/>
      </c>
    </row>
    <row r="3673" spans="1:4" x14ac:dyDescent="0.55000000000000004">
      <c r="A3673" t="s">
        <v>6</v>
      </c>
      <c r="D3673" t="str">
        <f t="shared" ref="D3673:D3704" si="3031">A3673</f>
        <v xml:space="preserve">  },</v>
      </c>
    </row>
    <row r="3674" spans="1:4" x14ac:dyDescent="0.55000000000000004">
      <c r="A3674" t="s">
        <v>625</v>
      </c>
      <c r="D3674" t="str">
        <f t="shared" si="3031"/>
        <v xml:space="preserve">  "58-58": {</v>
      </c>
    </row>
    <row r="3675" spans="1:4" x14ac:dyDescent="0.55000000000000004">
      <c r="A3675" t="s">
        <v>5</v>
      </c>
      <c r="B3675">
        <f t="shared" ref="B3675" si="3032">_xlfn.NUMBERVALUE(RIGHT(A3675,2))</f>
        <v>5</v>
      </c>
      <c r="D3675" t="str">
        <f t="shared" ref="D3675:D3706" si="3033">A3675&amp;","</f>
        <v xml:space="preserve">    "resultPage": 5,</v>
      </c>
    </row>
    <row r="3676" spans="1:4" x14ac:dyDescent="0.55000000000000004">
      <c r="A3676" t="s">
        <v>763</v>
      </c>
      <c r="B3676" t="str">
        <f>VLOOKUP(B3675,Tabelle3!$A$2:$E$33,3,FALSE)</f>
        <v>Swinging Low</v>
      </c>
      <c r="C3676" t="s">
        <v>762</v>
      </c>
      <c r="D3676" t="str">
        <f t="shared" ref="D3676" si="3034">_xlfn.CONCAT(A3676:C3676)</f>
        <v xml:space="preserve">    "message":  "Swinging Low",</v>
      </c>
    </row>
    <row r="3677" spans="1:4" x14ac:dyDescent="0.55000000000000004">
      <c r="A3677" t="s">
        <v>764</v>
      </c>
      <c r="B3677" t="str">
        <f>VLOOKUP(B3675,Tabelle3!$A$2:$E$33,5,FALSE)</f>
        <v>No Blue</v>
      </c>
      <c r="C3677" t="s">
        <v>762</v>
      </c>
      <c r="D3677" t="str">
        <f t="shared" si="3014"/>
        <v xml:space="preserve">    "nextInstruction":  "No Blue",</v>
      </c>
    </row>
    <row r="3678" spans="1:4" x14ac:dyDescent="0.55000000000000004">
      <c r="A3678" t="s">
        <v>765</v>
      </c>
      <c r="B3678" t="str">
        <f>VLOOKUP(B3675,Tabelle3!$A$2:$E$33,4,FALSE)</f>
        <v>""</v>
      </c>
      <c r="D3678" t="str">
        <f t="shared" ref="D3678:D3709" si="3035">IF(ISNUMBER(B3678),(A3678&amp;B3678),"")</f>
        <v/>
      </c>
    </row>
    <row r="3679" spans="1:4" x14ac:dyDescent="0.55000000000000004">
      <c r="A3679" t="s">
        <v>6</v>
      </c>
      <c r="D3679" t="str">
        <f t="shared" ref="D3679:D3710" si="3036">A3679</f>
        <v xml:space="preserve">  },</v>
      </c>
    </row>
    <row r="3680" spans="1:4" x14ac:dyDescent="0.55000000000000004">
      <c r="A3680" t="s">
        <v>626</v>
      </c>
      <c r="D3680" t="str">
        <f t="shared" si="3036"/>
        <v xml:space="preserve">  "58-60": {</v>
      </c>
    </row>
    <row r="3681" spans="1:4" x14ac:dyDescent="0.55000000000000004">
      <c r="A3681" t="s">
        <v>5</v>
      </c>
      <c r="B3681">
        <f t="shared" ref="B3681" si="3037">_xlfn.NUMBERVALUE(RIGHT(A3681,2))</f>
        <v>5</v>
      </c>
      <c r="D3681" t="str">
        <f t="shared" ref="D3681:D3712" si="3038">A3681&amp;","</f>
        <v xml:space="preserve">    "resultPage": 5,</v>
      </c>
    </row>
    <row r="3682" spans="1:4" x14ac:dyDescent="0.55000000000000004">
      <c r="A3682" t="s">
        <v>763</v>
      </c>
      <c r="B3682" t="str">
        <f>VLOOKUP(B3681,Tabelle3!$A$2:$E$33,3,FALSE)</f>
        <v>Swinging Low</v>
      </c>
      <c r="C3682" t="s">
        <v>762</v>
      </c>
      <c r="D3682" t="str">
        <f t="shared" ref="D3682" si="3039">_xlfn.CONCAT(A3682:C3682)</f>
        <v xml:space="preserve">    "message":  "Swinging Low",</v>
      </c>
    </row>
    <row r="3683" spans="1:4" x14ac:dyDescent="0.55000000000000004">
      <c r="A3683" t="s">
        <v>764</v>
      </c>
      <c r="B3683" t="str">
        <f>VLOOKUP(B3681,Tabelle3!$A$2:$E$33,5,FALSE)</f>
        <v>No Blue</v>
      </c>
      <c r="C3683" t="s">
        <v>762</v>
      </c>
      <c r="D3683" t="str">
        <f t="shared" si="3014"/>
        <v xml:space="preserve">    "nextInstruction":  "No Blue",</v>
      </c>
    </row>
    <row r="3684" spans="1:4" x14ac:dyDescent="0.55000000000000004">
      <c r="A3684" t="s">
        <v>765</v>
      </c>
      <c r="B3684" t="str">
        <f>VLOOKUP(B3681,Tabelle3!$A$2:$E$33,4,FALSE)</f>
        <v>""</v>
      </c>
      <c r="D3684" t="str">
        <f t="shared" ref="D3684:D3715" si="3040">IF(ISNUMBER(B3684),(A3684&amp;B3684),"")</f>
        <v/>
      </c>
    </row>
    <row r="3685" spans="1:4" x14ac:dyDescent="0.55000000000000004">
      <c r="A3685" t="s">
        <v>6</v>
      </c>
      <c r="D3685" t="str">
        <f t="shared" ref="D3685:D3716" si="3041">A3685</f>
        <v xml:space="preserve">  },</v>
      </c>
    </row>
    <row r="3686" spans="1:4" x14ac:dyDescent="0.55000000000000004">
      <c r="A3686" t="s">
        <v>627</v>
      </c>
      <c r="D3686" t="str">
        <f t="shared" si="3041"/>
        <v xml:space="preserve">  "58-62": {</v>
      </c>
    </row>
    <row r="3687" spans="1:4" x14ac:dyDescent="0.55000000000000004">
      <c r="A3687" t="s">
        <v>15</v>
      </c>
      <c r="B3687">
        <f t="shared" ref="B3687" si="3042">_xlfn.NUMBERVALUE(RIGHT(A3687,2))</f>
        <v>57</v>
      </c>
      <c r="D3687" t="str">
        <f t="shared" ref="D3687:D3718" si="3043">A3687&amp;","</f>
        <v xml:space="preserve">    "resultPage": 57,</v>
      </c>
    </row>
    <row r="3688" spans="1:4" x14ac:dyDescent="0.55000000000000004">
      <c r="A3688" t="s">
        <v>763</v>
      </c>
      <c r="B3688" t="str">
        <f>VLOOKUP(B3687,Tabelle3!$A$2:$E$33,3,FALSE)</f>
        <v>Extended Range Blocking</v>
      </c>
      <c r="C3688" t="s">
        <v>762</v>
      </c>
      <c r="D3688" t="str">
        <f t="shared" ref="D3688" si="3044">_xlfn.CONCAT(A3688:C3688)</f>
        <v xml:space="preserve">    "message":  "Extended Range Blocking",</v>
      </c>
    </row>
    <row r="3689" spans="1:4" x14ac:dyDescent="0.55000000000000004">
      <c r="A3689" t="s">
        <v>764</v>
      </c>
      <c r="B3689" t="str">
        <f>VLOOKUP(B3687,Tabelle3!$A$2:$E$33,5,FALSE)</f>
        <v>Only Extended Range</v>
      </c>
      <c r="C3689" t="s">
        <v>762</v>
      </c>
      <c r="D3689" t="str">
        <f t="shared" si="3014"/>
        <v xml:space="preserve">    "nextInstruction":  "Only Extended Range",</v>
      </c>
    </row>
    <row r="3690" spans="1:4" x14ac:dyDescent="0.55000000000000004">
      <c r="A3690" t="s">
        <v>765</v>
      </c>
      <c r="B3690" t="str">
        <f>VLOOKUP(B3687,Tabelle3!$A$2:$E$33,4,FALSE)</f>
        <v>""</v>
      </c>
      <c r="D3690" t="str">
        <f t="shared" ref="D3690:D3721" si="3045">IF(ISNUMBER(B3690),(A3690&amp;B3690),"")</f>
        <v/>
      </c>
    </row>
    <row r="3691" spans="1:4" x14ac:dyDescent="0.55000000000000004">
      <c r="A3691" t="s">
        <v>6</v>
      </c>
      <c r="D3691" t="str">
        <f t="shared" ref="D3691:D3722" si="3046">A3691</f>
        <v xml:space="preserve">  },</v>
      </c>
    </row>
    <row r="3692" spans="1:4" x14ac:dyDescent="0.55000000000000004">
      <c r="A3692" t="s">
        <v>628</v>
      </c>
      <c r="D3692" t="str">
        <f t="shared" si="3046"/>
        <v xml:space="preserve">  "58-64": {</v>
      </c>
    </row>
    <row r="3693" spans="1:4" x14ac:dyDescent="0.55000000000000004">
      <c r="A3693" t="s">
        <v>15</v>
      </c>
      <c r="B3693">
        <f t="shared" ref="B3693" si="3047">_xlfn.NUMBERVALUE(RIGHT(A3693,2))</f>
        <v>57</v>
      </c>
      <c r="D3693" t="str">
        <f t="shared" ref="D3693:D3724" si="3048">A3693&amp;","</f>
        <v xml:space="preserve">    "resultPage": 57,</v>
      </c>
    </row>
    <row r="3694" spans="1:4" x14ac:dyDescent="0.55000000000000004">
      <c r="A3694" t="s">
        <v>763</v>
      </c>
      <c r="B3694" t="str">
        <f>VLOOKUP(B3693,Tabelle3!$A$2:$E$33,3,FALSE)</f>
        <v>Extended Range Blocking</v>
      </c>
      <c r="C3694" t="s">
        <v>762</v>
      </c>
      <c r="D3694" t="str">
        <f t="shared" ref="D3694" si="3049">_xlfn.CONCAT(A3694:C3694)</f>
        <v xml:space="preserve">    "message":  "Extended Range Blocking",</v>
      </c>
    </row>
    <row r="3695" spans="1:4" x14ac:dyDescent="0.55000000000000004">
      <c r="A3695" t="s">
        <v>764</v>
      </c>
      <c r="B3695" t="str">
        <f>VLOOKUP(B3693,Tabelle3!$A$2:$E$33,5,FALSE)</f>
        <v>Only Extended Range</v>
      </c>
      <c r="C3695" t="s">
        <v>762</v>
      </c>
      <c r="D3695" t="str">
        <f t="shared" si="3014"/>
        <v xml:space="preserve">    "nextInstruction":  "Only Extended Range",</v>
      </c>
    </row>
    <row r="3696" spans="1:4" x14ac:dyDescent="0.55000000000000004">
      <c r="A3696" t="s">
        <v>765</v>
      </c>
      <c r="B3696" t="str">
        <f>VLOOKUP(B3693,Tabelle3!$A$2:$E$33,4,FALSE)</f>
        <v>""</v>
      </c>
      <c r="D3696" t="str">
        <f t="shared" ref="D3696:D3727" si="3050">IF(ISNUMBER(B3696),(A3696&amp;B3696),"")</f>
        <v/>
      </c>
    </row>
    <row r="3697" spans="1:4" x14ac:dyDescent="0.55000000000000004">
      <c r="A3697" t="s">
        <v>6</v>
      </c>
      <c r="D3697" t="str">
        <f t="shared" ref="D3697:D3728" si="3051">A3697</f>
        <v xml:space="preserve">  },</v>
      </c>
    </row>
    <row r="3698" spans="1:4" x14ac:dyDescent="0.55000000000000004">
      <c r="A3698" t="s">
        <v>629</v>
      </c>
      <c r="D3698" t="str">
        <f t="shared" si="3051"/>
        <v xml:space="preserve">  "60-50": {</v>
      </c>
    </row>
    <row r="3699" spans="1:4" x14ac:dyDescent="0.55000000000000004">
      <c r="A3699" t="s">
        <v>80</v>
      </c>
      <c r="B3699">
        <f t="shared" ref="B3699" si="3052">_xlfn.NUMBERVALUE(RIGHT(A3699,2))</f>
        <v>11</v>
      </c>
      <c r="D3699" t="str">
        <f t="shared" ref="D3699:D3730" si="3053">A3699&amp;","</f>
        <v xml:space="preserve">    "resultPage": 11,</v>
      </c>
    </row>
    <row r="3700" spans="1:4" x14ac:dyDescent="0.55000000000000004">
      <c r="A3700" t="s">
        <v>763</v>
      </c>
      <c r="B3700" t="str">
        <f>VLOOKUP(B3699,Tabelle3!$A$2:$E$33,3,FALSE)</f>
        <v>Thrusting Low</v>
      </c>
      <c r="C3700" t="s">
        <v>762</v>
      </c>
      <c r="D3700" t="str">
        <f t="shared" ref="D3700" si="3054">_xlfn.CONCAT(A3700:C3700)</f>
        <v xml:space="preserve">    "message":  "Thrusting Low",</v>
      </c>
    </row>
    <row r="3701" spans="1:4" x14ac:dyDescent="0.55000000000000004">
      <c r="A3701" t="s">
        <v>764</v>
      </c>
      <c r="B3701" t="str">
        <f>VLOOKUP(B3699,Tabelle3!$A$2:$E$33,5,FALSE)</f>
        <v>No Red</v>
      </c>
      <c r="C3701" t="s">
        <v>762</v>
      </c>
      <c r="D3701" t="str">
        <f t="shared" si="3014"/>
        <v xml:space="preserve">    "nextInstruction":  "No Red",</v>
      </c>
    </row>
    <row r="3702" spans="1:4" x14ac:dyDescent="0.55000000000000004">
      <c r="A3702" t="s">
        <v>765</v>
      </c>
      <c r="B3702" t="str">
        <f>VLOOKUP(B3699,Tabelle3!$A$2:$E$33,4,FALSE)</f>
        <v>""</v>
      </c>
      <c r="D3702" t="str">
        <f t="shared" ref="D3702:D3733" si="3055">IF(ISNUMBER(B3702),(A3702&amp;B3702),"")</f>
        <v/>
      </c>
    </row>
    <row r="3703" spans="1:4" x14ac:dyDescent="0.55000000000000004">
      <c r="A3703" t="s">
        <v>6</v>
      </c>
      <c r="D3703" t="str">
        <f t="shared" ref="D3703:D3734" si="3056">A3703</f>
        <v xml:space="preserve">  },</v>
      </c>
    </row>
    <row r="3704" spans="1:4" x14ac:dyDescent="0.55000000000000004">
      <c r="A3704" t="s">
        <v>630</v>
      </c>
      <c r="D3704" t="str">
        <f t="shared" si="3056"/>
        <v xml:space="preserve">  "60-52": {</v>
      </c>
    </row>
    <row r="3705" spans="1:4" x14ac:dyDescent="0.55000000000000004">
      <c r="A3705" t="s">
        <v>80</v>
      </c>
      <c r="B3705">
        <f t="shared" ref="B3705" si="3057">_xlfn.NUMBERVALUE(RIGHT(A3705,2))</f>
        <v>11</v>
      </c>
      <c r="D3705" t="str">
        <f t="shared" ref="D3705:D3736" si="3058">A3705&amp;","</f>
        <v xml:space="preserve">    "resultPage": 11,</v>
      </c>
    </row>
    <row r="3706" spans="1:4" x14ac:dyDescent="0.55000000000000004">
      <c r="A3706" t="s">
        <v>763</v>
      </c>
      <c r="B3706" t="str">
        <f>VLOOKUP(B3705,Tabelle3!$A$2:$E$33,3,FALSE)</f>
        <v>Thrusting Low</v>
      </c>
      <c r="C3706" t="s">
        <v>762</v>
      </c>
      <c r="D3706" t="str">
        <f t="shared" ref="D3706" si="3059">_xlfn.CONCAT(A3706:C3706)</f>
        <v xml:space="preserve">    "message":  "Thrusting Low",</v>
      </c>
    </row>
    <row r="3707" spans="1:4" x14ac:dyDescent="0.55000000000000004">
      <c r="A3707" t="s">
        <v>764</v>
      </c>
      <c r="B3707" t="str">
        <f>VLOOKUP(B3705,Tabelle3!$A$2:$E$33,5,FALSE)</f>
        <v>No Red</v>
      </c>
      <c r="C3707" t="s">
        <v>762</v>
      </c>
      <c r="D3707" t="str">
        <f t="shared" si="3014"/>
        <v xml:space="preserve">    "nextInstruction":  "No Red",</v>
      </c>
    </row>
    <row r="3708" spans="1:4" x14ac:dyDescent="0.55000000000000004">
      <c r="A3708" t="s">
        <v>765</v>
      </c>
      <c r="B3708" t="str">
        <f>VLOOKUP(B3705,Tabelle3!$A$2:$E$33,4,FALSE)</f>
        <v>""</v>
      </c>
      <c r="D3708" t="str">
        <f t="shared" ref="D3708:D3739" si="3060">IF(ISNUMBER(B3708),(A3708&amp;B3708),"")</f>
        <v/>
      </c>
    </row>
    <row r="3709" spans="1:4" x14ac:dyDescent="0.55000000000000004">
      <c r="A3709" t="s">
        <v>6</v>
      </c>
      <c r="D3709" t="str">
        <f t="shared" ref="D3709:D3740" si="3061">A3709</f>
        <v xml:space="preserve">  },</v>
      </c>
    </row>
    <row r="3710" spans="1:4" x14ac:dyDescent="0.55000000000000004">
      <c r="A3710" t="s">
        <v>631</v>
      </c>
      <c r="D3710" t="str">
        <f t="shared" si="3061"/>
        <v xml:space="preserve">  "60-54": {</v>
      </c>
    </row>
    <row r="3711" spans="1:4" x14ac:dyDescent="0.55000000000000004">
      <c r="A3711" t="s">
        <v>80</v>
      </c>
      <c r="B3711">
        <f t="shared" ref="B3711" si="3062">_xlfn.NUMBERVALUE(RIGHT(A3711,2))</f>
        <v>11</v>
      </c>
      <c r="D3711" t="str">
        <f t="shared" ref="D3711:D3742" si="3063">A3711&amp;","</f>
        <v xml:space="preserve">    "resultPage": 11,</v>
      </c>
    </row>
    <row r="3712" spans="1:4" x14ac:dyDescent="0.55000000000000004">
      <c r="A3712" t="s">
        <v>763</v>
      </c>
      <c r="B3712" t="str">
        <f>VLOOKUP(B3711,Tabelle3!$A$2:$E$33,3,FALSE)</f>
        <v>Thrusting Low</v>
      </c>
      <c r="C3712" t="s">
        <v>762</v>
      </c>
      <c r="D3712" t="str">
        <f t="shared" ref="D3712" si="3064">_xlfn.CONCAT(A3712:C3712)</f>
        <v xml:space="preserve">    "message":  "Thrusting Low",</v>
      </c>
    </row>
    <row r="3713" spans="1:4" x14ac:dyDescent="0.55000000000000004">
      <c r="A3713" t="s">
        <v>764</v>
      </c>
      <c r="B3713" t="str">
        <f>VLOOKUP(B3711,Tabelle3!$A$2:$E$33,5,FALSE)</f>
        <v>No Red</v>
      </c>
      <c r="C3713" t="s">
        <v>762</v>
      </c>
      <c r="D3713" t="str">
        <f t="shared" si="3014"/>
        <v xml:space="preserve">    "nextInstruction":  "No Red",</v>
      </c>
    </row>
    <row r="3714" spans="1:4" x14ac:dyDescent="0.55000000000000004">
      <c r="A3714" t="s">
        <v>765</v>
      </c>
      <c r="B3714" t="str">
        <f>VLOOKUP(B3711,Tabelle3!$A$2:$E$33,4,FALSE)</f>
        <v>""</v>
      </c>
      <c r="D3714" t="str">
        <f t="shared" ref="D3714:D3745" si="3065">IF(ISNUMBER(B3714),(A3714&amp;B3714),"")</f>
        <v/>
      </c>
    </row>
    <row r="3715" spans="1:4" x14ac:dyDescent="0.55000000000000004">
      <c r="A3715" t="s">
        <v>6</v>
      </c>
      <c r="D3715" t="str">
        <f t="shared" ref="D3715:D3746" si="3066">A3715</f>
        <v xml:space="preserve">  },</v>
      </c>
    </row>
    <row r="3716" spans="1:4" x14ac:dyDescent="0.55000000000000004">
      <c r="A3716" t="s">
        <v>632</v>
      </c>
      <c r="D3716" t="str">
        <f t="shared" si="3066"/>
        <v xml:space="preserve">  "60-56": {</v>
      </c>
    </row>
    <row r="3717" spans="1:4" x14ac:dyDescent="0.55000000000000004">
      <c r="A3717" t="s">
        <v>15</v>
      </c>
      <c r="B3717">
        <f t="shared" ref="B3717" si="3067">_xlfn.NUMBERVALUE(RIGHT(A3717,2))</f>
        <v>57</v>
      </c>
      <c r="D3717" t="str">
        <f t="shared" ref="D3717:D3748" si="3068">A3717&amp;","</f>
        <v xml:space="preserve">    "resultPage": 57,</v>
      </c>
    </row>
    <row r="3718" spans="1:4" x14ac:dyDescent="0.55000000000000004">
      <c r="A3718" t="s">
        <v>763</v>
      </c>
      <c r="B3718" t="str">
        <f>VLOOKUP(B3717,Tabelle3!$A$2:$E$33,3,FALSE)</f>
        <v>Extended Range Blocking</v>
      </c>
      <c r="C3718" t="s">
        <v>762</v>
      </c>
      <c r="D3718" t="str">
        <f t="shared" ref="D3718:D3779" si="3069">_xlfn.CONCAT(A3718:C3718)</f>
        <v xml:space="preserve">    "message":  "Extended Range Blocking",</v>
      </c>
    </row>
    <row r="3719" spans="1:4" x14ac:dyDescent="0.55000000000000004">
      <c r="A3719" t="s">
        <v>764</v>
      </c>
      <c r="B3719" t="str">
        <f>VLOOKUP(B3717,Tabelle3!$A$2:$E$33,5,FALSE)</f>
        <v>Only Extended Range</v>
      </c>
      <c r="C3719" t="s">
        <v>762</v>
      </c>
      <c r="D3719" t="str">
        <f t="shared" si="3069"/>
        <v xml:space="preserve">    "nextInstruction":  "Only Extended Range",</v>
      </c>
    </row>
    <row r="3720" spans="1:4" x14ac:dyDescent="0.55000000000000004">
      <c r="A3720" t="s">
        <v>765</v>
      </c>
      <c r="B3720" t="str">
        <f>VLOOKUP(B3717,Tabelle3!$A$2:$E$33,4,FALSE)</f>
        <v>""</v>
      </c>
      <c r="D3720" t="str">
        <f t="shared" ref="D3720:D3751" si="3070">IF(ISNUMBER(B3720),(A3720&amp;B3720),"")</f>
        <v/>
      </c>
    </row>
    <row r="3721" spans="1:4" x14ac:dyDescent="0.55000000000000004">
      <c r="A3721" t="s">
        <v>6</v>
      </c>
      <c r="D3721" t="str">
        <f t="shared" ref="D3721:D3752" si="3071">A3721</f>
        <v xml:space="preserve">  },</v>
      </c>
    </row>
    <row r="3722" spans="1:4" x14ac:dyDescent="0.55000000000000004">
      <c r="A3722" t="s">
        <v>633</v>
      </c>
      <c r="D3722" t="str">
        <f t="shared" si="3071"/>
        <v xml:space="preserve">  "60-58": {</v>
      </c>
    </row>
    <row r="3723" spans="1:4" x14ac:dyDescent="0.55000000000000004">
      <c r="A3723" t="s">
        <v>80</v>
      </c>
      <c r="B3723">
        <f t="shared" ref="B3723" si="3072">_xlfn.NUMBERVALUE(RIGHT(A3723,2))</f>
        <v>11</v>
      </c>
      <c r="D3723" t="str">
        <f t="shared" ref="D3723:D3754" si="3073">A3723&amp;","</f>
        <v xml:space="preserve">    "resultPage": 11,</v>
      </c>
    </row>
    <row r="3724" spans="1:4" x14ac:dyDescent="0.55000000000000004">
      <c r="A3724" t="s">
        <v>763</v>
      </c>
      <c r="B3724" t="str">
        <f>VLOOKUP(B3723,Tabelle3!$A$2:$E$33,3,FALSE)</f>
        <v>Thrusting Low</v>
      </c>
      <c r="C3724" t="s">
        <v>762</v>
      </c>
      <c r="D3724" t="str">
        <f t="shared" ref="D3724" si="3074">_xlfn.CONCAT(A3724:C3724)</f>
        <v xml:space="preserve">    "message":  "Thrusting Low",</v>
      </c>
    </row>
    <row r="3725" spans="1:4" x14ac:dyDescent="0.55000000000000004">
      <c r="A3725" t="s">
        <v>764</v>
      </c>
      <c r="B3725" t="str">
        <f>VLOOKUP(B3723,Tabelle3!$A$2:$E$33,5,FALSE)</f>
        <v>No Red</v>
      </c>
      <c r="C3725" t="s">
        <v>762</v>
      </c>
      <c r="D3725" t="str">
        <f t="shared" si="3069"/>
        <v xml:space="preserve">    "nextInstruction":  "No Red",</v>
      </c>
    </row>
    <row r="3726" spans="1:4" x14ac:dyDescent="0.55000000000000004">
      <c r="A3726" t="s">
        <v>765</v>
      </c>
      <c r="B3726" t="str">
        <f>VLOOKUP(B3723,Tabelle3!$A$2:$E$33,4,FALSE)</f>
        <v>""</v>
      </c>
      <c r="D3726" t="str">
        <f t="shared" ref="D3726:D3757" si="3075">IF(ISNUMBER(B3726),(A3726&amp;B3726),"")</f>
        <v/>
      </c>
    </row>
    <row r="3727" spans="1:4" x14ac:dyDescent="0.55000000000000004">
      <c r="A3727" t="s">
        <v>6</v>
      </c>
      <c r="D3727" t="str">
        <f t="shared" ref="D3727:D3758" si="3076">A3727</f>
        <v xml:space="preserve">  },</v>
      </c>
    </row>
    <row r="3728" spans="1:4" x14ac:dyDescent="0.55000000000000004">
      <c r="A3728" t="s">
        <v>634</v>
      </c>
      <c r="D3728" t="str">
        <f t="shared" si="3076"/>
        <v xml:space="preserve">  "60-60": {</v>
      </c>
    </row>
    <row r="3729" spans="1:4" x14ac:dyDescent="0.55000000000000004">
      <c r="A3729" t="s">
        <v>80</v>
      </c>
      <c r="B3729">
        <f t="shared" ref="B3729" si="3077">_xlfn.NUMBERVALUE(RIGHT(A3729,2))</f>
        <v>11</v>
      </c>
      <c r="D3729" t="str">
        <f t="shared" ref="D3729:D3760" si="3078">A3729&amp;","</f>
        <v xml:space="preserve">    "resultPage": 11,</v>
      </c>
    </row>
    <row r="3730" spans="1:4" x14ac:dyDescent="0.55000000000000004">
      <c r="A3730" t="s">
        <v>763</v>
      </c>
      <c r="B3730" t="str">
        <f>VLOOKUP(B3729,Tabelle3!$A$2:$E$33,3,FALSE)</f>
        <v>Thrusting Low</v>
      </c>
      <c r="C3730" t="s">
        <v>762</v>
      </c>
      <c r="D3730" t="str">
        <f t="shared" ref="D3730" si="3079">_xlfn.CONCAT(A3730:C3730)</f>
        <v xml:space="preserve">    "message":  "Thrusting Low",</v>
      </c>
    </row>
    <row r="3731" spans="1:4" x14ac:dyDescent="0.55000000000000004">
      <c r="A3731" t="s">
        <v>764</v>
      </c>
      <c r="B3731" t="str">
        <f>VLOOKUP(B3729,Tabelle3!$A$2:$E$33,5,FALSE)</f>
        <v>No Red</v>
      </c>
      <c r="C3731" t="s">
        <v>762</v>
      </c>
      <c r="D3731" t="str">
        <f t="shared" si="3069"/>
        <v xml:space="preserve">    "nextInstruction":  "No Red",</v>
      </c>
    </row>
    <row r="3732" spans="1:4" x14ac:dyDescent="0.55000000000000004">
      <c r="A3732" t="s">
        <v>765</v>
      </c>
      <c r="B3732" t="str">
        <f>VLOOKUP(B3729,Tabelle3!$A$2:$E$33,4,FALSE)</f>
        <v>""</v>
      </c>
      <c r="D3732" t="str">
        <f t="shared" ref="D3732:D3763" si="3080">IF(ISNUMBER(B3732),(A3732&amp;B3732),"")</f>
        <v/>
      </c>
    </row>
    <row r="3733" spans="1:4" x14ac:dyDescent="0.55000000000000004">
      <c r="A3733" t="s">
        <v>6</v>
      </c>
      <c r="D3733" t="str">
        <f t="shared" ref="D3733:D3764" si="3081">A3733</f>
        <v xml:space="preserve">  },</v>
      </c>
    </row>
    <row r="3734" spans="1:4" x14ac:dyDescent="0.55000000000000004">
      <c r="A3734" t="s">
        <v>635</v>
      </c>
      <c r="D3734" t="str">
        <f t="shared" si="3081"/>
        <v xml:space="preserve">  "60-62": {</v>
      </c>
    </row>
    <row r="3735" spans="1:4" x14ac:dyDescent="0.55000000000000004">
      <c r="A3735" t="s">
        <v>15</v>
      </c>
      <c r="B3735">
        <f t="shared" ref="B3735" si="3082">_xlfn.NUMBERVALUE(RIGHT(A3735,2))</f>
        <v>57</v>
      </c>
      <c r="D3735" t="str">
        <f t="shared" ref="D3735:D3766" si="3083">A3735&amp;","</f>
        <v xml:space="preserve">    "resultPage": 57,</v>
      </c>
    </row>
    <row r="3736" spans="1:4" x14ac:dyDescent="0.55000000000000004">
      <c r="A3736" t="s">
        <v>763</v>
      </c>
      <c r="B3736" t="str">
        <f>VLOOKUP(B3735,Tabelle3!$A$2:$E$33,3,FALSE)</f>
        <v>Extended Range Blocking</v>
      </c>
      <c r="C3736" t="s">
        <v>762</v>
      </c>
      <c r="D3736" t="str">
        <f t="shared" ref="D3736" si="3084">_xlfn.CONCAT(A3736:C3736)</f>
        <v xml:space="preserve">    "message":  "Extended Range Blocking",</v>
      </c>
    </row>
    <row r="3737" spans="1:4" x14ac:dyDescent="0.55000000000000004">
      <c r="A3737" t="s">
        <v>764</v>
      </c>
      <c r="B3737" t="str">
        <f>VLOOKUP(B3735,Tabelle3!$A$2:$E$33,5,FALSE)</f>
        <v>Only Extended Range</v>
      </c>
      <c r="C3737" t="s">
        <v>762</v>
      </c>
      <c r="D3737" t="str">
        <f t="shared" si="3069"/>
        <v xml:space="preserve">    "nextInstruction":  "Only Extended Range",</v>
      </c>
    </row>
    <row r="3738" spans="1:4" x14ac:dyDescent="0.55000000000000004">
      <c r="A3738" t="s">
        <v>765</v>
      </c>
      <c r="B3738" t="str">
        <f>VLOOKUP(B3735,Tabelle3!$A$2:$E$33,4,FALSE)</f>
        <v>""</v>
      </c>
      <c r="D3738" t="str">
        <f t="shared" ref="D3738:D3769" si="3085">IF(ISNUMBER(B3738),(A3738&amp;B3738),"")</f>
        <v/>
      </c>
    </row>
    <row r="3739" spans="1:4" x14ac:dyDescent="0.55000000000000004">
      <c r="A3739" t="s">
        <v>6</v>
      </c>
      <c r="D3739" t="str">
        <f t="shared" ref="D3739:D3770" si="3086">A3739</f>
        <v xml:space="preserve">  },</v>
      </c>
    </row>
    <row r="3740" spans="1:4" x14ac:dyDescent="0.55000000000000004">
      <c r="A3740" t="s">
        <v>636</v>
      </c>
      <c r="D3740" t="str">
        <f t="shared" si="3086"/>
        <v xml:space="preserve">  "60-64": {</v>
      </c>
    </row>
    <row r="3741" spans="1:4" x14ac:dyDescent="0.55000000000000004">
      <c r="A3741" t="s">
        <v>603</v>
      </c>
      <c r="B3741">
        <f t="shared" ref="B3741" si="3087">_xlfn.NUMBERVALUE(RIGHT(A3741,2))</f>
        <v>35</v>
      </c>
      <c r="D3741" t="str">
        <f t="shared" ref="D3741:D3772" si="3088">A3741&amp;","</f>
        <v xml:space="preserve">    "resultPage": 35,</v>
      </c>
    </row>
    <row r="3742" spans="1:4" x14ac:dyDescent="0.55000000000000004">
      <c r="A3742" t="s">
        <v>763</v>
      </c>
      <c r="B3742" t="str">
        <f>VLOOKUP(B3741,Tabelle3!$A$2:$E$33,3,FALSE)</f>
        <v>Extended Range Body Wound</v>
      </c>
      <c r="C3742" t="s">
        <v>762</v>
      </c>
      <c r="D3742" t="str">
        <f t="shared" ref="D3742" si="3089">_xlfn.CONCAT(A3742:C3742)</f>
        <v xml:space="preserve">    "message":  "Extended Range Body Wound",</v>
      </c>
    </row>
    <row r="3743" spans="1:4" x14ac:dyDescent="0.55000000000000004">
      <c r="A3743" t="s">
        <v>764</v>
      </c>
      <c r="B3743" t="str">
        <f>VLOOKUP(B3741,Tabelle3!$A$2:$E$33,5,FALSE)</f>
        <v>Only Brown</v>
      </c>
      <c r="C3743" t="s">
        <v>762</v>
      </c>
      <c r="D3743" t="str">
        <f t="shared" si="3069"/>
        <v xml:space="preserve">    "nextInstruction":  "Only Brown",</v>
      </c>
    </row>
    <row r="3744" spans="1:4" x14ac:dyDescent="0.55000000000000004">
      <c r="A3744" t="s">
        <v>765</v>
      </c>
      <c r="B3744">
        <f>VLOOKUP(B3741,Tabelle3!$A$2:$E$33,4,FALSE)</f>
        <v>4</v>
      </c>
      <c r="D3744" t="str">
        <f t="shared" ref="D3744:D3775" si="3090">IF(ISNUMBER(B3744),(A3744&amp;B3744),"")</f>
        <v xml:space="preserve">    "damageModifier": 4</v>
      </c>
    </row>
    <row r="3745" spans="1:4" x14ac:dyDescent="0.55000000000000004">
      <c r="A3745" t="s">
        <v>6</v>
      </c>
      <c r="D3745" t="str">
        <f t="shared" ref="D3745:D3776" si="3091">A3745</f>
        <v xml:space="preserve">  },</v>
      </c>
    </row>
    <row r="3746" spans="1:4" x14ac:dyDescent="0.55000000000000004">
      <c r="A3746" t="s">
        <v>637</v>
      </c>
      <c r="D3746" t="str">
        <f t="shared" si="3091"/>
        <v xml:space="preserve">  "62-50": {</v>
      </c>
    </row>
    <row r="3747" spans="1:4" x14ac:dyDescent="0.55000000000000004">
      <c r="A3747" t="s">
        <v>58</v>
      </c>
      <c r="B3747">
        <f t="shared" ref="B3747" si="3092">_xlfn.NUMBERVALUE(RIGHT(A3747,2))</f>
        <v>19</v>
      </c>
      <c r="D3747" t="str">
        <f t="shared" ref="D3747:D3778" si="3093">A3747&amp;","</f>
        <v xml:space="preserve">    "resultPage": 19,</v>
      </c>
    </row>
    <row r="3748" spans="1:4" x14ac:dyDescent="0.55000000000000004">
      <c r="A3748" t="s">
        <v>763</v>
      </c>
      <c r="B3748" t="str">
        <f>VLOOKUP(B3747,Tabelle3!$A$2:$E$33,3,FALSE)</f>
        <v>Struck off Balance</v>
      </c>
      <c r="C3748" t="s">
        <v>762</v>
      </c>
      <c r="D3748" t="str">
        <f t="shared" ref="D3748" si="3094">_xlfn.CONCAT(A3748:C3748)</f>
        <v xml:space="preserve">    "message":  "Struck off Balance",</v>
      </c>
    </row>
    <row r="3749" spans="1:4" x14ac:dyDescent="0.55000000000000004">
      <c r="A3749" t="s">
        <v>764</v>
      </c>
      <c r="B3749" t="str">
        <f>VLOOKUP(B3747,Tabelle3!$A$2:$E$33,5,FALSE)</f>
        <v>Only Green Only Yellow</v>
      </c>
      <c r="C3749" t="s">
        <v>762</v>
      </c>
      <c r="D3749" t="str">
        <f t="shared" si="3069"/>
        <v xml:space="preserve">    "nextInstruction":  "Only Green Only Yellow",</v>
      </c>
    </row>
    <row r="3750" spans="1:4" x14ac:dyDescent="0.55000000000000004">
      <c r="A3750" t="s">
        <v>765</v>
      </c>
      <c r="B3750">
        <f>VLOOKUP(B3747,Tabelle3!$A$2:$E$33,4,FALSE)</f>
        <v>0</v>
      </c>
      <c r="D3750" t="str">
        <f t="shared" ref="D3750:D3781" si="3095">IF(ISNUMBER(B3750),(A3750&amp;B3750),"")</f>
        <v xml:space="preserve">    "damageModifier": 0</v>
      </c>
    </row>
    <row r="3751" spans="1:4" x14ac:dyDescent="0.55000000000000004">
      <c r="A3751" t="s">
        <v>6</v>
      </c>
      <c r="D3751" t="str">
        <f t="shared" ref="D3751:D3782" si="3096">A3751</f>
        <v xml:space="preserve">  },</v>
      </c>
    </row>
    <row r="3752" spans="1:4" x14ac:dyDescent="0.55000000000000004">
      <c r="A3752" t="s">
        <v>638</v>
      </c>
      <c r="D3752" t="str">
        <f t="shared" si="3096"/>
        <v xml:space="preserve">  "62-52": {</v>
      </c>
    </row>
    <row r="3753" spans="1:4" x14ac:dyDescent="0.55000000000000004">
      <c r="A3753" t="s">
        <v>15</v>
      </c>
      <c r="B3753">
        <f t="shared" ref="B3753" si="3097">_xlfn.NUMBERVALUE(RIGHT(A3753,2))</f>
        <v>57</v>
      </c>
      <c r="D3753" t="str">
        <f t="shared" ref="D3753:D3784" si="3098">A3753&amp;","</f>
        <v xml:space="preserve">    "resultPage": 57,</v>
      </c>
    </row>
    <row r="3754" spans="1:4" x14ac:dyDescent="0.55000000000000004">
      <c r="A3754" t="s">
        <v>763</v>
      </c>
      <c r="B3754" t="str">
        <f>VLOOKUP(B3753,Tabelle3!$A$2:$E$33,3,FALSE)</f>
        <v>Extended Range Blocking</v>
      </c>
      <c r="C3754" t="s">
        <v>762</v>
      </c>
      <c r="D3754" t="str">
        <f t="shared" ref="D3754" si="3099">_xlfn.CONCAT(A3754:C3754)</f>
        <v xml:space="preserve">    "message":  "Extended Range Blocking",</v>
      </c>
    </row>
    <row r="3755" spans="1:4" x14ac:dyDescent="0.55000000000000004">
      <c r="A3755" t="s">
        <v>764</v>
      </c>
      <c r="B3755" t="str">
        <f>VLOOKUP(B3753,Tabelle3!$A$2:$E$33,5,FALSE)</f>
        <v>Only Extended Range</v>
      </c>
      <c r="C3755" t="s">
        <v>762</v>
      </c>
      <c r="D3755" t="str">
        <f t="shared" si="3069"/>
        <v xml:space="preserve">    "nextInstruction":  "Only Extended Range",</v>
      </c>
    </row>
    <row r="3756" spans="1:4" x14ac:dyDescent="0.55000000000000004">
      <c r="A3756" t="s">
        <v>765</v>
      </c>
      <c r="B3756" t="str">
        <f>VLOOKUP(B3753,Tabelle3!$A$2:$E$33,4,FALSE)</f>
        <v>""</v>
      </c>
      <c r="D3756" t="str">
        <f t="shared" ref="D3756:D3787" si="3100">IF(ISNUMBER(B3756),(A3756&amp;B3756),"")</f>
        <v/>
      </c>
    </row>
    <row r="3757" spans="1:4" x14ac:dyDescent="0.55000000000000004">
      <c r="A3757" t="s">
        <v>6</v>
      </c>
      <c r="D3757" t="str">
        <f t="shared" ref="D3757:D3788" si="3101">A3757</f>
        <v xml:space="preserve">  },</v>
      </c>
    </row>
    <row r="3758" spans="1:4" x14ac:dyDescent="0.55000000000000004">
      <c r="A3758" t="s">
        <v>639</v>
      </c>
      <c r="D3758" t="str">
        <f t="shared" si="3101"/>
        <v xml:space="preserve">  "62-54": {</v>
      </c>
    </row>
    <row r="3759" spans="1:4" x14ac:dyDescent="0.55000000000000004">
      <c r="A3759" t="s">
        <v>603</v>
      </c>
      <c r="B3759">
        <f t="shared" ref="B3759" si="3102">_xlfn.NUMBERVALUE(RIGHT(A3759,2))</f>
        <v>35</v>
      </c>
      <c r="D3759" t="str">
        <f t="shared" ref="D3759:D3790" si="3103">A3759&amp;","</f>
        <v xml:space="preserve">    "resultPage": 35,</v>
      </c>
    </row>
    <row r="3760" spans="1:4" x14ac:dyDescent="0.55000000000000004">
      <c r="A3760" t="s">
        <v>763</v>
      </c>
      <c r="B3760" t="str">
        <f>VLOOKUP(B3759,Tabelle3!$A$2:$E$33,3,FALSE)</f>
        <v>Extended Range Body Wound</v>
      </c>
      <c r="C3760" t="s">
        <v>762</v>
      </c>
      <c r="D3760" t="str">
        <f t="shared" ref="D3760" si="3104">_xlfn.CONCAT(A3760:C3760)</f>
        <v xml:space="preserve">    "message":  "Extended Range Body Wound",</v>
      </c>
    </row>
    <row r="3761" spans="1:4" x14ac:dyDescent="0.55000000000000004">
      <c r="A3761" t="s">
        <v>764</v>
      </c>
      <c r="B3761" t="str">
        <f>VLOOKUP(B3759,Tabelle3!$A$2:$E$33,5,FALSE)</f>
        <v>Only Brown</v>
      </c>
      <c r="C3761" t="s">
        <v>762</v>
      </c>
      <c r="D3761" t="str">
        <f t="shared" si="3069"/>
        <v xml:space="preserve">    "nextInstruction":  "Only Brown",</v>
      </c>
    </row>
    <row r="3762" spans="1:4" x14ac:dyDescent="0.55000000000000004">
      <c r="A3762" t="s">
        <v>765</v>
      </c>
      <c r="B3762">
        <f>VLOOKUP(B3759,Tabelle3!$A$2:$E$33,4,FALSE)</f>
        <v>4</v>
      </c>
      <c r="D3762" t="str">
        <f t="shared" ref="D3762:D3793" si="3105">IF(ISNUMBER(B3762),(A3762&amp;B3762),"")</f>
        <v xml:space="preserve">    "damageModifier": 4</v>
      </c>
    </row>
    <row r="3763" spans="1:4" x14ac:dyDescent="0.55000000000000004">
      <c r="A3763" t="s">
        <v>6</v>
      </c>
      <c r="D3763" t="str">
        <f t="shared" ref="D3763:D3794" si="3106">A3763</f>
        <v xml:space="preserve">  },</v>
      </c>
    </row>
    <row r="3764" spans="1:4" x14ac:dyDescent="0.55000000000000004">
      <c r="A3764" t="s">
        <v>640</v>
      </c>
      <c r="D3764" t="str">
        <f t="shared" si="3106"/>
        <v xml:space="preserve">  "62-56": {</v>
      </c>
    </row>
    <row r="3765" spans="1:4" x14ac:dyDescent="0.55000000000000004">
      <c r="A3765" t="s">
        <v>15</v>
      </c>
      <c r="B3765">
        <f t="shared" ref="B3765" si="3107">_xlfn.NUMBERVALUE(RIGHT(A3765,2))</f>
        <v>57</v>
      </c>
      <c r="D3765" t="str">
        <f t="shared" ref="D3765:D3796" si="3108">A3765&amp;","</f>
        <v xml:space="preserve">    "resultPage": 57,</v>
      </c>
    </row>
    <row r="3766" spans="1:4" x14ac:dyDescent="0.55000000000000004">
      <c r="A3766" t="s">
        <v>763</v>
      </c>
      <c r="B3766" t="str">
        <f>VLOOKUP(B3765,Tabelle3!$A$2:$E$33,3,FALSE)</f>
        <v>Extended Range Blocking</v>
      </c>
      <c r="C3766" t="s">
        <v>762</v>
      </c>
      <c r="D3766" t="str">
        <f t="shared" ref="D3766" si="3109">_xlfn.CONCAT(A3766:C3766)</f>
        <v xml:space="preserve">    "message":  "Extended Range Blocking",</v>
      </c>
    </row>
    <row r="3767" spans="1:4" x14ac:dyDescent="0.55000000000000004">
      <c r="A3767" t="s">
        <v>764</v>
      </c>
      <c r="B3767" t="str">
        <f>VLOOKUP(B3765,Tabelle3!$A$2:$E$33,5,FALSE)</f>
        <v>Only Extended Range</v>
      </c>
      <c r="C3767" t="s">
        <v>762</v>
      </c>
      <c r="D3767" t="str">
        <f t="shared" si="3069"/>
        <v xml:space="preserve">    "nextInstruction":  "Only Extended Range",</v>
      </c>
    </row>
    <row r="3768" spans="1:4" x14ac:dyDescent="0.55000000000000004">
      <c r="A3768" t="s">
        <v>765</v>
      </c>
      <c r="B3768" t="str">
        <f>VLOOKUP(B3765,Tabelle3!$A$2:$E$33,4,FALSE)</f>
        <v>""</v>
      </c>
      <c r="D3768" t="str">
        <f t="shared" ref="D3768:D3799" si="3110">IF(ISNUMBER(B3768),(A3768&amp;B3768),"")</f>
        <v/>
      </c>
    </row>
    <row r="3769" spans="1:4" x14ac:dyDescent="0.55000000000000004">
      <c r="A3769" t="s">
        <v>6</v>
      </c>
      <c r="D3769" t="str">
        <f t="shared" ref="D3769:D3800" si="3111">A3769</f>
        <v xml:space="preserve">  },</v>
      </c>
    </row>
    <row r="3770" spans="1:4" x14ac:dyDescent="0.55000000000000004">
      <c r="A3770" t="s">
        <v>641</v>
      </c>
      <c r="D3770" t="str">
        <f t="shared" si="3111"/>
        <v xml:space="preserve">  "62-58": {</v>
      </c>
    </row>
    <row r="3771" spans="1:4" x14ac:dyDescent="0.55000000000000004">
      <c r="A3771" t="s">
        <v>15</v>
      </c>
      <c r="B3771">
        <f t="shared" ref="B3771" si="3112">_xlfn.NUMBERVALUE(RIGHT(A3771,2))</f>
        <v>57</v>
      </c>
      <c r="D3771" t="str">
        <f t="shared" ref="D3771:D3802" si="3113">A3771&amp;","</f>
        <v xml:space="preserve">    "resultPage": 57,</v>
      </c>
    </row>
    <row r="3772" spans="1:4" x14ac:dyDescent="0.55000000000000004">
      <c r="A3772" t="s">
        <v>763</v>
      </c>
      <c r="B3772" t="str">
        <f>VLOOKUP(B3771,Tabelle3!$A$2:$E$33,3,FALSE)</f>
        <v>Extended Range Blocking</v>
      </c>
      <c r="C3772" t="s">
        <v>762</v>
      </c>
      <c r="D3772" t="str">
        <f t="shared" ref="D3772" si="3114">_xlfn.CONCAT(A3772:C3772)</f>
        <v xml:space="preserve">    "message":  "Extended Range Blocking",</v>
      </c>
    </row>
    <row r="3773" spans="1:4" x14ac:dyDescent="0.55000000000000004">
      <c r="A3773" t="s">
        <v>764</v>
      </c>
      <c r="B3773" t="str">
        <f>VLOOKUP(B3771,Tabelle3!$A$2:$E$33,5,FALSE)</f>
        <v>Only Extended Range</v>
      </c>
      <c r="C3773" t="s">
        <v>762</v>
      </c>
      <c r="D3773" t="str">
        <f t="shared" si="3069"/>
        <v xml:space="preserve">    "nextInstruction":  "Only Extended Range",</v>
      </c>
    </row>
    <row r="3774" spans="1:4" x14ac:dyDescent="0.55000000000000004">
      <c r="A3774" t="s">
        <v>765</v>
      </c>
      <c r="B3774" t="str">
        <f>VLOOKUP(B3771,Tabelle3!$A$2:$E$33,4,FALSE)</f>
        <v>""</v>
      </c>
      <c r="D3774" t="str">
        <f t="shared" ref="D3774:D3805" si="3115">IF(ISNUMBER(B3774),(A3774&amp;B3774),"")</f>
        <v/>
      </c>
    </row>
    <row r="3775" spans="1:4" x14ac:dyDescent="0.55000000000000004">
      <c r="A3775" t="s">
        <v>6</v>
      </c>
      <c r="D3775" t="str">
        <f t="shared" ref="D3775:D3806" si="3116">A3775</f>
        <v xml:space="preserve">  },</v>
      </c>
    </row>
    <row r="3776" spans="1:4" x14ac:dyDescent="0.55000000000000004">
      <c r="A3776" t="s">
        <v>642</v>
      </c>
      <c r="D3776" t="str">
        <f t="shared" si="3116"/>
        <v xml:space="preserve">  "62-60": {</v>
      </c>
    </row>
    <row r="3777" spans="1:4" x14ac:dyDescent="0.55000000000000004">
      <c r="A3777" t="s">
        <v>15</v>
      </c>
      <c r="B3777">
        <f t="shared" ref="B3777" si="3117">_xlfn.NUMBERVALUE(RIGHT(A3777,2))</f>
        <v>57</v>
      </c>
      <c r="D3777" t="str">
        <f t="shared" ref="D3777:D3808" si="3118">A3777&amp;","</f>
        <v xml:space="preserve">    "resultPage": 57,</v>
      </c>
    </row>
    <row r="3778" spans="1:4" x14ac:dyDescent="0.55000000000000004">
      <c r="A3778" t="s">
        <v>763</v>
      </c>
      <c r="B3778" t="str">
        <f>VLOOKUP(B3777,Tabelle3!$A$2:$E$33,3,FALSE)</f>
        <v>Extended Range Blocking</v>
      </c>
      <c r="C3778" t="s">
        <v>762</v>
      </c>
      <c r="D3778" t="str">
        <f t="shared" ref="D3778" si="3119">_xlfn.CONCAT(A3778:C3778)</f>
        <v xml:space="preserve">    "message":  "Extended Range Blocking",</v>
      </c>
    </row>
    <row r="3779" spans="1:4" x14ac:dyDescent="0.55000000000000004">
      <c r="A3779" t="s">
        <v>764</v>
      </c>
      <c r="B3779" t="str">
        <f>VLOOKUP(B3777,Tabelle3!$A$2:$E$33,5,FALSE)</f>
        <v>Only Extended Range</v>
      </c>
      <c r="C3779" t="s">
        <v>762</v>
      </c>
      <c r="D3779" t="str">
        <f t="shared" si="3069"/>
        <v xml:space="preserve">    "nextInstruction":  "Only Extended Range",</v>
      </c>
    </row>
    <row r="3780" spans="1:4" x14ac:dyDescent="0.55000000000000004">
      <c r="A3780" t="s">
        <v>765</v>
      </c>
      <c r="B3780" t="str">
        <f>VLOOKUP(B3777,Tabelle3!$A$2:$E$33,4,FALSE)</f>
        <v>""</v>
      </c>
      <c r="D3780" t="str">
        <f t="shared" ref="D3780:D3811" si="3120">IF(ISNUMBER(B3780),(A3780&amp;B3780),"")</f>
        <v/>
      </c>
    </row>
    <row r="3781" spans="1:4" x14ac:dyDescent="0.55000000000000004">
      <c r="A3781" t="s">
        <v>6</v>
      </c>
      <c r="D3781" t="str">
        <f t="shared" ref="D3781:D3812" si="3121">A3781</f>
        <v xml:space="preserve">  },</v>
      </c>
    </row>
    <row r="3782" spans="1:4" x14ac:dyDescent="0.55000000000000004">
      <c r="A3782" t="s">
        <v>643</v>
      </c>
      <c r="D3782" t="str">
        <f t="shared" si="3121"/>
        <v xml:space="preserve">  "62-62": {</v>
      </c>
    </row>
    <row r="3783" spans="1:4" x14ac:dyDescent="0.55000000000000004">
      <c r="A3783" t="s">
        <v>15</v>
      </c>
      <c r="B3783">
        <f t="shared" ref="B3783" si="3122">_xlfn.NUMBERVALUE(RIGHT(A3783,2))</f>
        <v>57</v>
      </c>
      <c r="D3783" t="str">
        <f t="shared" ref="D3783:D3814" si="3123">A3783&amp;","</f>
        <v xml:space="preserve">    "resultPage": 57,</v>
      </c>
    </row>
    <row r="3784" spans="1:4" x14ac:dyDescent="0.55000000000000004">
      <c r="A3784" t="s">
        <v>763</v>
      </c>
      <c r="B3784" t="str">
        <f>VLOOKUP(B3783,Tabelle3!$A$2:$E$33,3,FALSE)</f>
        <v>Extended Range Blocking</v>
      </c>
      <c r="C3784" t="s">
        <v>762</v>
      </c>
      <c r="D3784" t="str">
        <f t="shared" ref="D3784:D3839" si="3124">_xlfn.CONCAT(A3784:C3784)</f>
        <v xml:space="preserve">    "message":  "Extended Range Blocking",</v>
      </c>
    </row>
    <row r="3785" spans="1:4" x14ac:dyDescent="0.55000000000000004">
      <c r="A3785" t="s">
        <v>764</v>
      </c>
      <c r="B3785" t="str">
        <f>VLOOKUP(B3783,Tabelle3!$A$2:$E$33,5,FALSE)</f>
        <v>Only Extended Range</v>
      </c>
      <c r="C3785" t="s">
        <v>762</v>
      </c>
      <c r="D3785" t="str">
        <f t="shared" si="3124"/>
        <v xml:space="preserve">    "nextInstruction":  "Only Extended Range",</v>
      </c>
    </row>
    <row r="3786" spans="1:4" x14ac:dyDescent="0.55000000000000004">
      <c r="A3786" t="s">
        <v>765</v>
      </c>
      <c r="B3786" t="str">
        <f>VLOOKUP(B3783,Tabelle3!$A$2:$E$33,4,FALSE)</f>
        <v>""</v>
      </c>
      <c r="D3786" t="str">
        <f t="shared" ref="D3786:D3817" si="3125">IF(ISNUMBER(B3786),(A3786&amp;B3786),"")</f>
        <v/>
      </c>
    </row>
    <row r="3787" spans="1:4" x14ac:dyDescent="0.55000000000000004">
      <c r="A3787" t="s">
        <v>6</v>
      </c>
      <c r="D3787" t="str">
        <f t="shared" ref="D3787:D3818" si="3126">A3787</f>
        <v xml:space="preserve">  },</v>
      </c>
    </row>
    <row r="3788" spans="1:4" x14ac:dyDescent="0.55000000000000004">
      <c r="A3788" t="s">
        <v>644</v>
      </c>
      <c r="D3788" t="str">
        <f t="shared" si="3126"/>
        <v xml:space="preserve">  "62-64": {</v>
      </c>
    </row>
    <row r="3789" spans="1:4" x14ac:dyDescent="0.55000000000000004">
      <c r="A3789" t="s">
        <v>15</v>
      </c>
      <c r="B3789">
        <f t="shared" ref="B3789" si="3127">_xlfn.NUMBERVALUE(RIGHT(A3789,2))</f>
        <v>57</v>
      </c>
      <c r="D3789" t="str">
        <f t="shared" ref="D3789:D3820" si="3128">A3789&amp;","</f>
        <v xml:space="preserve">    "resultPage": 57,</v>
      </c>
    </row>
    <row r="3790" spans="1:4" x14ac:dyDescent="0.55000000000000004">
      <c r="A3790" t="s">
        <v>763</v>
      </c>
      <c r="B3790" t="str">
        <f>VLOOKUP(B3789,Tabelle3!$A$2:$E$33,3,FALSE)</f>
        <v>Extended Range Blocking</v>
      </c>
      <c r="C3790" t="s">
        <v>762</v>
      </c>
      <c r="D3790" t="str">
        <f t="shared" ref="D3790" si="3129">_xlfn.CONCAT(A3790:C3790)</f>
        <v xml:space="preserve">    "message":  "Extended Range Blocking",</v>
      </c>
    </row>
    <row r="3791" spans="1:4" x14ac:dyDescent="0.55000000000000004">
      <c r="A3791" t="s">
        <v>764</v>
      </c>
      <c r="B3791" t="str">
        <f>VLOOKUP(B3789,Tabelle3!$A$2:$E$33,5,FALSE)</f>
        <v>Only Extended Range</v>
      </c>
      <c r="C3791" t="s">
        <v>762</v>
      </c>
      <c r="D3791" t="str">
        <f t="shared" si="3124"/>
        <v xml:space="preserve">    "nextInstruction":  "Only Extended Range",</v>
      </c>
    </row>
    <row r="3792" spans="1:4" x14ac:dyDescent="0.55000000000000004">
      <c r="A3792" t="s">
        <v>765</v>
      </c>
      <c r="B3792" t="str">
        <f>VLOOKUP(B3789,Tabelle3!$A$2:$E$33,4,FALSE)</f>
        <v>""</v>
      </c>
      <c r="D3792" t="str">
        <f t="shared" ref="D3792:D3823" si="3130">IF(ISNUMBER(B3792),(A3792&amp;B3792),"")</f>
        <v/>
      </c>
    </row>
    <row r="3793" spans="1:4" x14ac:dyDescent="0.55000000000000004">
      <c r="A3793" t="s">
        <v>6</v>
      </c>
      <c r="D3793" t="str">
        <f t="shared" ref="D3793:D3824" si="3131">A3793</f>
        <v xml:space="preserve">  },</v>
      </c>
    </row>
    <row r="3794" spans="1:4" x14ac:dyDescent="0.55000000000000004">
      <c r="A3794" t="s">
        <v>645</v>
      </c>
      <c r="D3794" t="str">
        <f t="shared" si="3131"/>
        <v xml:space="preserve">  "64-50": {</v>
      </c>
    </row>
    <row r="3795" spans="1:4" x14ac:dyDescent="0.55000000000000004">
      <c r="A3795" t="s">
        <v>58</v>
      </c>
      <c r="B3795">
        <f t="shared" ref="B3795" si="3132">_xlfn.NUMBERVALUE(RIGHT(A3795,2))</f>
        <v>19</v>
      </c>
      <c r="D3795" t="str">
        <f t="shared" ref="D3795:D3842" si="3133">A3795&amp;","</f>
        <v xml:space="preserve">    "resultPage": 19,</v>
      </c>
    </row>
    <row r="3796" spans="1:4" x14ac:dyDescent="0.55000000000000004">
      <c r="A3796" t="s">
        <v>763</v>
      </c>
      <c r="B3796" t="str">
        <f>VLOOKUP(B3795,Tabelle3!$A$2:$E$33,3,FALSE)</f>
        <v>Struck off Balance</v>
      </c>
      <c r="C3796" t="s">
        <v>762</v>
      </c>
      <c r="D3796" t="str">
        <f t="shared" ref="D3796" si="3134">_xlfn.CONCAT(A3796:C3796)</f>
        <v xml:space="preserve">    "message":  "Struck off Balance",</v>
      </c>
    </row>
    <row r="3797" spans="1:4" x14ac:dyDescent="0.55000000000000004">
      <c r="A3797" t="s">
        <v>764</v>
      </c>
      <c r="B3797" t="str">
        <f>VLOOKUP(B3795,Tabelle3!$A$2:$E$33,5,FALSE)</f>
        <v>Only Green Only Yellow</v>
      </c>
      <c r="C3797" t="s">
        <v>762</v>
      </c>
      <c r="D3797" t="str">
        <f t="shared" si="3124"/>
        <v xml:space="preserve">    "nextInstruction":  "Only Green Only Yellow",</v>
      </c>
    </row>
    <row r="3798" spans="1:4" x14ac:dyDescent="0.55000000000000004">
      <c r="A3798" t="s">
        <v>765</v>
      </c>
      <c r="B3798">
        <f>VLOOKUP(B3795,Tabelle3!$A$2:$E$33,4,FALSE)</f>
        <v>0</v>
      </c>
      <c r="D3798" t="str">
        <f t="shared" ref="D3798:D3842" si="3135">IF(ISNUMBER(B3798),(A3798&amp;B3798),"")</f>
        <v xml:space="preserve">    "damageModifier": 0</v>
      </c>
    </row>
    <row r="3799" spans="1:4" x14ac:dyDescent="0.55000000000000004">
      <c r="A3799" t="s">
        <v>6</v>
      </c>
      <c r="D3799" t="str">
        <f t="shared" ref="D3799:D3842" si="3136">A3799</f>
        <v xml:space="preserve">  },</v>
      </c>
    </row>
    <row r="3800" spans="1:4" x14ac:dyDescent="0.55000000000000004">
      <c r="A3800" t="s">
        <v>646</v>
      </c>
      <c r="D3800" t="str">
        <f t="shared" si="3136"/>
        <v xml:space="preserve">  "64-52": {</v>
      </c>
    </row>
    <row r="3801" spans="1:4" x14ac:dyDescent="0.55000000000000004">
      <c r="A3801" t="s">
        <v>15</v>
      </c>
      <c r="B3801">
        <f t="shared" ref="B3801" si="3137">_xlfn.NUMBERVALUE(RIGHT(A3801,2))</f>
        <v>57</v>
      </c>
      <c r="D3801" t="str">
        <f t="shared" ref="D3801:D3842" si="3138">A3801&amp;","</f>
        <v xml:space="preserve">    "resultPage": 57,</v>
      </c>
    </row>
    <row r="3802" spans="1:4" x14ac:dyDescent="0.55000000000000004">
      <c r="A3802" t="s">
        <v>763</v>
      </c>
      <c r="B3802" t="str">
        <f>VLOOKUP(B3801,Tabelle3!$A$2:$E$33,3,FALSE)</f>
        <v>Extended Range Blocking</v>
      </c>
      <c r="C3802" t="s">
        <v>762</v>
      </c>
      <c r="D3802" t="str">
        <f t="shared" ref="D3802" si="3139">_xlfn.CONCAT(A3802:C3802)</f>
        <v xml:space="preserve">    "message":  "Extended Range Blocking",</v>
      </c>
    </row>
    <row r="3803" spans="1:4" x14ac:dyDescent="0.55000000000000004">
      <c r="A3803" t="s">
        <v>764</v>
      </c>
      <c r="B3803" t="str">
        <f>VLOOKUP(B3801,Tabelle3!$A$2:$E$33,5,FALSE)</f>
        <v>Only Extended Range</v>
      </c>
      <c r="C3803" t="s">
        <v>762</v>
      </c>
      <c r="D3803" t="str">
        <f t="shared" si="3124"/>
        <v xml:space="preserve">    "nextInstruction":  "Only Extended Range",</v>
      </c>
    </row>
    <row r="3804" spans="1:4" x14ac:dyDescent="0.55000000000000004">
      <c r="A3804" t="s">
        <v>765</v>
      </c>
      <c r="B3804" t="str">
        <f>VLOOKUP(B3801,Tabelle3!$A$2:$E$33,4,FALSE)</f>
        <v>""</v>
      </c>
      <c r="D3804" t="str">
        <f t="shared" ref="D3804:D3842" si="3140">IF(ISNUMBER(B3804),(A3804&amp;B3804),"")</f>
        <v/>
      </c>
    </row>
    <row r="3805" spans="1:4" x14ac:dyDescent="0.55000000000000004">
      <c r="A3805" t="s">
        <v>6</v>
      </c>
      <c r="D3805" t="str">
        <f t="shared" ref="D3805:D3842" si="3141">A3805</f>
        <v xml:space="preserve">  },</v>
      </c>
    </row>
    <row r="3806" spans="1:4" x14ac:dyDescent="0.55000000000000004">
      <c r="A3806" t="s">
        <v>647</v>
      </c>
      <c r="D3806" t="str">
        <f t="shared" si="3141"/>
        <v xml:space="preserve">  "64-54": {</v>
      </c>
    </row>
    <row r="3807" spans="1:4" x14ac:dyDescent="0.55000000000000004">
      <c r="A3807" t="s">
        <v>116</v>
      </c>
      <c r="B3807">
        <f t="shared" ref="B3807" si="3142">_xlfn.NUMBERVALUE(RIGHT(A3807,2))</f>
        <v>3</v>
      </c>
      <c r="D3807" t="str">
        <f t="shared" ref="D3807:D3842" si="3143">A3807&amp;","</f>
        <v xml:space="preserve">    "resultPage": 3,</v>
      </c>
    </row>
    <row r="3808" spans="1:4" x14ac:dyDescent="0.55000000000000004">
      <c r="A3808" t="s">
        <v>763</v>
      </c>
      <c r="B3808" t="str">
        <f>VLOOKUP(B3807,Tabelle3!$A$2:$E$33,3,FALSE)</f>
        <v>Swinging High</v>
      </c>
      <c r="C3808" t="s">
        <v>762</v>
      </c>
      <c r="D3808" t="str">
        <f t="shared" ref="D3808" si="3144">_xlfn.CONCAT(A3808:C3808)</f>
        <v xml:space="preserve">    "message":  "Swinging High",</v>
      </c>
    </row>
    <row r="3809" spans="1:4" x14ac:dyDescent="0.55000000000000004">
      <c r="A3809" t="s">
        <v>764</v>
      </c>
      <c r="B3809" t="str">
        <f>VLOOKUP(B3807,Tabelle3!$A$2:$E$33,5,FALSE)</f>
        <v>No Red</v>
      </c>
      <c r="C3809" t="s">
        <v>762</v>
      </c>
      <c r="D3809" t="str">
        <f t="shared" si="3124"/>
        <v xml:space="preserve">    "nextInstruction":  "No Red",</v>
      </c>
    </row>
    <row r="3810" spans="1:4" x14ac:dyDescent="0.55000000000000004">
      <c r="A3810" t="s">
        <v>765</v>
      </c>
      <c r="B3810" t="str">
        <f>VLOOKUP(B3807,Tabelle3!$A$2:$E$33,4,FALSE)</f>
        <v>""</v>
      </c>
      <c r="D3810" t="str">
        <f t="shared" ref="D3810:D3842" si="3145">IF(ISNUMBER(B3810),(A3810&amp;B3810),"")</f>
        <v/>
      </c>
    </row>
    <row r="3811" spans="1:4" x14ac:dyDescent="0.55000000000000004">
      <c r="A3811" t="s">
        <v>6</v>
      </c>
      <c r="D3811" t="str">
        <f t="shared" ref="D3811:D3842" si="3146">A3811</f>
        <v xml:space="preserve">  },</v>
      </c>
    </row>
    <row r="3812" spans="1:4" x14ac:dyDescent="0.55000000000000004">
      <c r="A3812" t="s">
        <v>648</v>
      </c>
      <c r="D3812" t="str">
        <f t="shared" si="3146"/>
        <v xml:space="preserve">  "64-56": {</v>
      </c>
    </row>
    <row r="3813" spans="1:4" x14ac:dyDescent="0.55000000000000004">
      <c r="A3813" t="s">
        <v>116</v>
      </c>
      <c r="B3813">
        <f t="shared" ref="B3813" si="3147">_xlfn.NUMBERVALUE(RIGHT(A3813,2))</f>
        <v>3</v>
      </c>
      <c r="D3813" t="str">
        <f t="shared" ref="D3813:D3842" si="3148">A3813&amp;","</f>
        <v xml:space="preserve">    "resultPage": 3,</v>
      </c>
    </row>
    <row r="3814" spans="1:4" x14ac:dyDescent="0.55000000000000004">
      <c r="A3814" t="s">
        <v>763</v>
      </c>
      <c r="B3814" t="str">
        <f>VLOOKUP(B3813,Tabelle3!$A$2:$E$33,3,FALSE)</f>
        <v>Swinging High</v>
      </c>
      <c r="C3814" t="s">
        <v>762</v>
      </c>
      <c r="D3814" t="str">
        <f t="shared" ref="D3814" si="3149">_xlfn.CONCAT(A3814:C3814)</f>
        <v xml:space="preserve">    "message":  "Swinging High",</v>
      </c>
    </row>
    <row r="3815" spans="1:4" x14ac:dyDescent="0.55000000000000004">
      <c r="A3815" t="s">
        <v>764</v>
      </c>
      <c r="B3815" t="str">
        <f>VLOOKUP(B3813,Tabelle3!$A$2:$E$33,5,FALSE)</f>
        <v>No Red</v>
      </c>
      <c r="C3815" t="s">
        <v>762</v>
      </c>
      <c r="D3815" t="str">
        <f t="shared" si="3124"/>
        <v xml:space="preserve">    "nextInstruction":  "No Red",</v>
      </c>
    </row>
    <row r="3816" spans="1:4" x14ac:dyDescent="0.55000000000000004">
      <c r="A3816" t="s">
        <v>765</v>
      </c>
      <c r="B3816" t="str">
        <f>VLOOKUP(B3813,Tabelle3!$A$2:$E$33,4,FALSE)</f>
        <v>""</v>
      </c>
      <c r="D3816" t="str">
        <f t="shared" ref="D3816:D3842" si="3150">IF(ISNUMBER(B3816),(A3816&amp;B3816),"")</f>
        <v/>
      </c>
    </row>
    <row r="3817" spans="1:4" x14ac:dyDescent="0.55000000000000004">
      <c r="A3817" t="s">
        <v>6</v>
      </c>
      <c r="D3817" t="str">
        <f t="shared" ref="D3817:D3842" si="3151">A3817</f>
        <v xml:space="preserve">  },</v>
      </c>
    </row>
    <row r="3818" spans="1:4" x14ac:dyDescent="0.55000000000000004">
      <c r="A3818" t="s">
        <v>649</v>
      </c>
      <c r="D3818" t="str">
        <f t="shared" si="3151"/>
        <v xml:space="preserve">  "64-58": {</v>
      </c>
    </row>
    <row r="3819" spans="1:4" x14ac:dyDescent="0.55000000000000004">
      <c r="A3819" t="s">
        <v>15</v>
      </c>
      <c r="B3819">
        <f t="shared" ref="B3819" si="3152">_xlfn.NUMBERVALUE(RIGHT(A3819,2))</f>
        <v>57</v>
      </c>
      <c r="D3819" t="str">
        <f t="shared" ref="D3819:D3842" si="3153">A3819&amp;","</f>
        <v xml:space="preserve">    "resultPage": 57,</v>
      </c>
    </row>
    <row r="3820" spans="1:4" x14ac:dyDescent="0.55000000000000004">
      <c r="A3820" t="s">
        <v>763</v>
      </c>
      <c r="B3820" t="str">
        <f>VLOOKUP(B3819,Tabelle3!$A$2:$E$33,3,FALSE)</f>
        <v>Extended Range Blocking</v>
      </c>
      <c r="C3820" t="s">
        <v>762</v>
      </c>
      <c r="D3820" t="str">
        <f t="shared" ref="D3820" si="3154">_xlfn.CONCAT(A3820:C3820)</f>
        <v xml:space="preserve">    "message":  "Extended Range Blocking",</v>
      </c>
    </row>
    <row r="3821" spans="1:4" x14ac:dyDescent="0.55000000000000004">
      <c r="A3821" t="s">
        <v>764</v>
      </c>
      <c r="B3821" t="str">
        <f>VLOOKUP(B3819,Tabelle3!$A$2:$E$33,5,FALSE)</f>
        <v>Only Extended Range</v>
      </c>
      <c r="C3821" t="s">
        <v>762</v>
      </c>
      <c r="D3821" t="str">
        <f t="shared" si="3124"/>
        <v xml:space="preserve">    "nextInstruction":  "Only Extended Range",</v>
      </c>
    </row>
    <row r="3822" spans="1:4" x14ac:dyDescent="0.55000000000000004">
      <c r="A3822" t="s">
        <v>765</v>
      </c>
      <c r="B3822" t="str">
        <f>VLOOKUP(B3819,Tabelle3!$A$2:$E$33,4,FALSE)</f>
        <v>""</v>
      </c>
      <c r="D3822" t="str">
        <f t="shared" ref="D3822:D3842" si="3155">IF(ISNUMBER(B3822),(A3822&amp;B3822),"")</f>
        <v/>
      </c>
    </row>
    <row r="3823" spans="1:4" x14ac:dyDescent="0.55000000000000004">
      <c r="A3823" t="s">
        <v>6</v>
      </c>
      <c r="D3823" t="str">
        <f t="shared" ref="D3823:D3842" si="3156">A3823</f>
        <v xml:space="preserve">  },</v>
      </c>
    </row>
    <row r="3824" spans="1:4" x14ac:dyDescent="0.55000000000000004">
      <c r="A3824" t="s">
        <v>650</v>
      </c>
      <c r="D3824" t="str">
        <f t="shared" si="3156"/>
        <v xml:space="preserve">  "64-60": {</v>
      </c>
    </row>
    <row r="3825" spans="1:4" x14ac:dyDescent="0.55000000000000004">
      <c r="A3825" t="s">
        <v>609</v>
      </c>
      <c r="B3825">
        <f t="shared" ref="B3825" si="3157">_xlfn.NUMBERVALUE(RIGHT(A3825,2))</f>
        <v>47</v>
      </c>
      <c r="D3825" t="str">
        <f t="shared" ref="D3825:D3842" si="3158">A3825&amp;","</f>
        <v xml:space="preserve">    "resultPage": 47,</v>
      </c>
    </row>
    <row r="3826" spans="1:4" x14ac:dyDescent="0.55000000000000004">
      <c r="A3826" t="s">
        <v>763</v>
      </c>
      <c r="B3826" t="str">
        <f>VLOOKUP(B3825,Tabelle3!$A$2:$E$33,3,FALSE)</f>
        <v>Extended Range Leg Wound</v>
      </c>
      <c r="C3826" t="s">
        <v>762</v>
      </c>
      <c r="D3826" t="str">
        <f t="shared" ref="D3826" si="3159">_xlfn.CONCAT(A3826:C3826)</f>
        <v xml:space="preserve">    "message":  "Extended Range Leg Wound",</v>
      </c>
    </row>
    <row r="3827" spans="1:4" x14ac:dyDescent="0.55000000000000004">
      <c r="A3827" t="s">
        <v>764</v>
      </c>
      <c r="B3827" t="str">
        <f>VLOOKUP(B3825,Tabelle3!$A$2:$E$33,5,FALSE)</f>
        <v>Only Brown</v>
      </c>
      <c r="C3827" t="s">
        <v>762</v>
      </c>
      <c r="D3827" t="str">
        <f t="shared" si="3124"/>
        <v xml:space="preserve">    "nextInstruction":  "Only Brown",</v>
      </c>
    </row>
    <row r="3828" spans="1:4" x14ac:dyDescent="0.55000000000000004">
      <c r="A3828" t="s">
        <v>765</v>
      </c>
      <c r="B3828">
        <f>VLOOKUP(B3825,Tabelle3!$A$2:$E$33,4,FALSE)</f>
        <v>4</v>
      </c>
      <c r="D3828" t="str">
        <f t="shared" ref="D3828:D3842" si="3160">IF(ISNUMBER(B3828),(A3828&amp;B3828),"")</f>
        <v xml:space="preserve">    "damageModifier": 4</v>
      </c>
    </row>
    <row r="3829" spans="1:4" x14ac:dyDescent="0.55000000000000004">
      <c r="A3829" t="s">
        <v>6</v>
      </c>
      <c r="D3829" t="str">
        <f t="shared" ref="D3829:D3842" si="3161">A3829</f>
        <v xml:space="preserve">  },</v>
      </c>
    </row>
    <row r="3830" spans="1:4" x14ac:dyDescent="0.55000000000000004">
      <c r="A3830" t="s">
        <v>651</v>
      </c>
      <c r="D3830" t="str">
        <f t="shared" si="3161"/>
        <v xml:space="preserve">  "64-62": {</v>
      </c>
    </row>
    <row r="3831" spans="1:4" x14ac:dyDescent="0.55000000000000004">
      <c r="A3831" t="s">
        <v>15</v>
      </c>
      <c r="B3831">
        <f t="shared" ref="B3831" si="3162">_xlfn.NUMBERVALUE(RIGHT(A3831,2))</f>
        <v>57</v>
      </c>
      <c r="D3831" t="str">
        <f t="shared" ref="D3831:D3842" si="3163">A3831&amp;","</f>
        <v xml:space="preserve">    "resultPage": 57,</v>
      </c>
    </row>
    <row r="3832" spans="1:4" x14ac:dyDescent="0.55000000000000004">
      <c r="A3832" t="s">
        <v>763</v>
      </c>
      <c r="B3832" t="str">
        <f>VLOOKUP(B3831,Tabelle3!$A$2:$E$33,3,FALSE)</f>
        <v>Extended Range Blocking</v>
      </c>
      <c r="C3832" t="s">
        <v>762</v>
      </c>
      <c r="D3832" t="str">
        <f t="shared" ref="D3832" si="3164">_xlfn.CONCAT(A3832:C3832)</f>
        <v xml:space="preserve">    "message":  "Extended Range Blocking",</v>
      </c>
    </row>
    <row r="3833" spans="1:4" x14ac:dyDescent="0.55000000000000004">
      <c r="A3833" t="s">
        <v>764</v>
      </c>
      <c r="B3833" t="str">
        <f>VLOOKUP(B3831,Tabelle3!$A$2:$E$33,5,FALSE)</f>
        <v>Only Extended Range</v>
      </c>
      <c r="C3833" t="s">
        <v>762</v>
      </c>
      <c r="D3833" t="str">
        <f t="shared" si="3124"/>
        <v xml:space="preserve">    "nextInstruction":  "Only Extended Range",</v>
      </c>
    </row>
    <row r="3834" spans="1:4" x14ac:dyDescent="0.55000000000000004">
      <c r="A3834" t="s">
        <v>765</v>
      </c>
      <c r="B3834" t="str">
        <f>VLOOKUP(B3831,Tabelle3!$A$2:$E$33,4,FALSE)</f>
        <v>""</v>
      </c>
      <c r="D3834" t="str">
        <f t="shared" ref="D3834:D3842" si="3165">IF(ISNUMBER(B3834),(A3834&amp;B3834),"")</f>
        <v/>
      </c>
    </row>
    <row r="3835" spans="1:4" x14ac:dyDescent="0.55000000000000004">
      <c r="A3835" t="s">
        <v>6</v>
      </c>
      <c r="D3835" t="str">
        <f t="shared" ref="D3835:D3842" si="3166">A3835</f>
        <v xml:space="preserve">  },</v>
      </c>
    </row>
    <row r="3836" spans="1:4" x14ac:dyDescent="0.55000000000000004">
      <c r="A3836" t="s">
        <v>652</v>
      </c>
      <c r="D3836" t="str">
        <f t="shared" si="3166"/>
        <v xml:space="preserve">  "64-64": {</v>
      </c>
    </row>
    <row r="3837" spans="1:4" x14ac:dyDescent="0.55000000000000004">
      <c r="A3837" t="s">
        <v>116</v>
      </c>
      <c r="B3837">
        <f t="shared" ref="B3837" si="3167">_xlfn.NUMBERVALUE(RIGHT(A3837,2))</f>
        <v>3</v>
      </c>
      <c r="D3837" t="str">
        <f t="shared" ref="D3837:D3842" si="3168">A3837&amp;","</f>
        <v xml:space="preserve">    "resultPage": 3,</v>
      </c>
    </row>
    <row r="3838" spans="1:4" x14ac:dyDescent="0.55000000000000004">
      <c r="A3838" t="s">
        <v>763</v>
      </c>
      <c r="B3838" t="str">
        <f>VLOOKUP(B3837,Tabelle3!$A$2:$E$33,3,FALSE)</f>
        <v>Swinging High</v>
      </c>
      <c r="C3838" t="s">
        <v>762</v>
      </c>
      <c r="D3838" t="str">
        <f t="shared" ref="D3838" si="3169">_xlfn.CONCAT(A3838:C3838)</f>
        <v xml:space="preserve">    "message":  "Swinging High",</v>
      </c>
    </row>
    <row r="3839" spans="1:4" x14ac:dyDescent="0.55000000000000004">
      <c r="A3839" t="s">
        <v>764</v>
      </c>
      <c r="B3839" t="str">
        <f>VLOOKUP(B3837,Tabelle3!$A$2:$E$33,5,FALSE)</f>
        <v>No Red</v>
      </c>
      <c r="C3839" t="s">
        <v>762</v>
      </c>
      <c r="D3839" t="str">
        <f t="shared" si="3124"/>
        <v xml:space="preserve">    "nextInstruction":  "No Red",</v>
      </c>
    </row>
    <row r="3840" spans="1:4" x14ac:dyDescent="0.55000000000000004">
      <c r="A3840" t="s">
        <v>765</v>
      </c>
      <c r="B3840" t="str">
        <f>VLOOKUP(B3837,Tabelle3!$A$2:$E$33,4,FALSE)</f>
        <v>""</v>
      </c>
      <c r="D3840" t="str">
        <f t="shared" ref="D3840:D3842" si="3170">IF(ISNUMBER(B3840),(A3840&amp;B3840),"")</f>
        <v/>
      </c>
    </row>
    <row r="3841" spans="1:4" x14ac:dyDescent="0.55000000000000004">
      <c r="A3841" t="s">
        <v>653</v>
      </c>
      <c r="D3841" t="str">
        <f t="shared" ref="D3841:D3842" si="3171">A3841</f>
        <v xml:space="preserve">  }</v>
      </c>
    </row>
    <row r="3842" spans="1:4" x14ac:dyDescent="0.55000000000000004">
      <c r="A3842" t="s">
        <v>654</v>
      </c>
      <c r="D3842" t="str">
        <f t="shared" si="3171"/>
        <v>}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B04E6-CD2C-4FC3-BED3-A29BA4BB1CB4}">
  <sheetPr codeName="Tabelle3"/>
  <dimension ref="A1:AE34"/>
  <sheetViews>
    <sheetView topLeftCell="A28" workbookViewId="0">
      <selection activeCell="D34" sqref="D34"/>
    </sheetView>
  </sheetViews>
  <sheetFormatPr baseColWidth="10" defaultRowHeight="14.4" x14ac:dyDescent="0.55000000000000004"/>
  <sheetData>
    <row r="1" spans="1:31" ht="232.2" x14ac:dyDescent="0.55000000000000004">
      <c r="A1" s="2"/>
      <c r="B1" s="2"/>
      <c r="C1" s="2"/>
      <c r="D1" s="6" t="s">
        <v>719</v>
      </c>
      <c r="E1" s="6"/>
      <c r="F1" s="6" t="s">
        <v>720</v>
      </c>
      <c r="G1" s="6" t="s">
        <v>721</v>
      </c>
      <c r="H1" s="6" t="s">
        <v>722</v>
      </c>
      <c r="I1" s="6" t="s">
        <v>723</v>
      </c>
      <c r="J1" s="6" t="s">
        <v>724</v>
      </c>
      <c r="K1" s="6" t="s">
        <v>725</v>
      </c>
      <c r="L1" s="6" t="s">
        <v>726</v>
      </c>
      <c r="M1" s="6" t="s">
        <v>0</v>
      </c>
      <c r="N1" s="6" t="s">
        <v>727</v>
      </c>
      <c r="O1" s="6" t="s">
        <v>728</v>
      </c>
      <c r="P1" s="6" t="s">
        <v>729</v>
      </c>
      <c r="Q1" s="6" t="s">
        <v>730</v>
      </c>
      <c r="R1" s="6" t="s">
        <v>731</v>
      </c>
      <c r="S1" s="6" t="s">
        <v>732</v>
      </c>
      <c r="T1" s="6" t="s">
        <v>733</v>
      </c>
      <c r="U1" s="6" t="s">
        <v>734</v>
      </c>
      <c r="V1" s="6" t="s">
        <v>735</v>
      </c>
      <c r="W1" s="6" t="s">
        <v>736</v>
      </c>
      <c r="X1" s="6" t="s">
        <v>737</v>
      </c>
      <c r="Y1" s="6" t="s">
        <v>738</v>
      </c>
      <c r="Z1" s="6" t="s">
        <v>739</v>
      </c>
      <c r="AA1" s="6" t="s">
        <v>1</v>
      </c>
      <c r="AB1" s="6" t="s">
        <v>740</v>
      </c>
      <c r="AC1" s="6" t="s">
        <v>741</v>
      </c>
      <c r="AD1" s="6" t="s">
        <v>742</v>
      </c>
      <c r="AE1" s="2"/>
    </row>
    <row r="2" spans="1:31" ht="83.4" x14ac:dyDescent="0.55000000000000004">
      <c r="A2" s="1">
        <v>1</v>
      </c>
      <c r="B2" s="1" t="s">
        <v>655</v>
      </c>
      <c r="C2" s="2" t="s">
        <v>656</v>
      </c>
      <c r="D2" s="2" t="s">
        <v>761</v>
      </c>
      <c r="E2" s="2" t="str">
        <f>_xlfn.TEXTJOIN(" ",TRUE,F2:AD2)</f>
        <v>Add + 2 to your Score</v>
      </c>
      <c r="F2" s="6" t="s">
        <v>743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1" x14ac:dyDescent="0.55000000000000004">
      <c r="A3" s="1">
        <v>3</v>
      </c>
      <c r="B3" s="1" t="s">
        <v>657</v>
      </c>
      <c r="C3" s="2" t="s">
        <v>658</v>
      </c>
      <c r="D3" s="2" t="s">
        <v>761</v>
      </c>
      <c r="E3" s="2" t="str">
        <f t="shared" ref="E3:E33" si="0">_xlfn.TEXTJOIN(" ",TRUE,F3:AD3)</f>
        <v>No Red</v>
      </c>
      <c r="F3" s="2"/>
      <c r="G3" s="2" t="s">
        <v>744</v>
      </c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1" x14ac:dyDescent="0.55000000000000004">
      <c r="A4" s="1">
        <v>5</v>
      </c>
      <c r="B4" s="1" t="s">
        <v>659</v>
      </c>
      <c r="C4" s="2" t="s">
        <v>660</v>
      </c>
      <c r="D4" s="2" t="s">
        <v>761</v>
      </c>
      <c r="E4" s="2" t="str">
        <f t="shared" si="0"/>
        <v>No Blue</v>
      </c>
      <c r="F4" s="2"/>
      <c r="G4" s="2"/>
      <c r="H4" s="2" t="s">
        <v>745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1" x14ac:dyDescent="0.55000000000000004">
      <c r="A5" s="1">
        <v>7</v>
      </c>
      <c r="B5" s="1" t="s">
        <v>661</v>
      </c>
      <c r="C5" s="2" t="s">
        <v>662</v>
      </c>
      <c r="D5" s="2">
        <v>7</v>
      </c>
      <c r="E5" s="2" t="str">
        <f t="shared" si="0"/>
        <v>Only Green Only Yellow</v>
      </c>
      <c r="F5" s="2"/>
      <c r="G5" s="2"/>
      <c r="H5" s="2"/>
      <c r="I5" s="2" t="s">
        <v>746</v>
      </c>
      <c r="J5" s="2" t="s">
        <v>747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1" x14ac:dyDescent="0.55000000000000004">
      <c r="A6" s="1">
        <v>9</v>
      </c>
      <c r="B6" s="1" t="s">
        <v>663</v>
      </c>
      <c r="C6" s="2" t="s">
        <v>664</v>
      </c>
      <c r="D6" s="2" t="s">
        <v>761</v>
      </c>
      <c r="E6" s="2" t="str">
        <f t="shared" si="0"/>
        <v/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1" x14ac:dyDescent="0.55000000000000004">
      <c r="A7" s="1">
        <v>11</v>
      </c>
      <c r="B7" s="1" t="s">
        <v>665</v>
      </c>
      <c r="C7" s="2" t="s">
        <v>666</v>
      </c>
      <c r="D7" s="2" t="s">
        <v>761</v>
      </c>
      <c r="E7" s="2" t="str">
        <f t="shared" si="0"/>
        <v>No Red</v>
      </c>
      <c r="F7" s="2"/>
      <c r="G7" s="2" t="s">
        <v>744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</row>
    <row r="8" spans="1:31" x14ac:dyDescent="0.55000000000000004">
      <c r="A8" s="1">
        <v>13</v>
      </c>
      <c r="B8" s="1" t="s">
        <v>667</v>
      </c>
      <c r="C8" s="2" t="s">
        <v>668</v>
      </c>
      <c r="D8" s="2">
        <v>4</v>
      </c>
      <c r="E8" s="2" t="str">
        <f t="shared" si="0"/>
        <v>No Orange</v>
      </c>
      <c r="F8" s="2"/>
      <c r="G8" s="2"/>
      <c r="H8" s="2"/>
      <c r="I8" s="2"/>
      <c r="J8" s="2"/>
      <c r="K8" s="2" t="s">
        <v>749</v>
      </c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1:31" x14ac:dyDescent="0.55000000000000004">
      <c r="A9" s="1">
        <v>15</v>
      </c>
      <c r="B9" s="1" t="s">
        <v>669</v>
      </c>
      <c r="C9" s="2" t="s">
        <v>670</v>
      </c>
      <c r="D9" s="2" t="s">
        <v>761</v>
      </c>
      <c r="E9" s="2" t="str">
        <f t="shared" si="0"/>
        <v/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</row>
    <row r="10" spans="1:31" x14ac:dyDescent="0.55000000000000004">
      <c r="A10" s="1">
        <v>17</v>
      </c>
      <c r="B10" s="1" t="s">
        <v>671</v>
      </c>
      <c r="C10" s="2" t="s">
        <v>672</v>
      </c>
      <c r="D10" s="2">
        <v>-4</v>
      </c>
      <c r="E10" s="2" t="str">
        <f t="shared" si="0"/>
        <v>No Blue</v>
      </c>
      <c r="F10" s="2"/>
      <c r="G10" s="2"/>
      <c r="H10" s="2" t="s">
        <v>745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</row>
    <row r="11" spans="1:31" x14ac:dyDescent="0.55000000000000004">
      <c r="A11" s="1">
        <v>19</v>
      </c>
      <c r="B11" s="1" t="s">
        <v>673</v>
      </c>
      <c r="C11" s="2" t="s">
        <v>674</v>
      </c>
      <c r="D11" s="2">
        <v>0</v>
      </c>
      <c r="E11" s="2" t="str">
        <f t="shared" si="0"/>
        <v>Only Green Only Yellow</v>
      </c>
      <c r="F11" s="2"/>
      <c r="G11" s="2"/>
      <c r="H11" s="2"/>
      <c r="I11" s="2" t="s">
        <v>746</v>
      </c>
      <c r="J11" s="2" t="s">
        <v>747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</row>
    <row r="12" spans="1:31" x14ac:dyDescent="0.55000000000000004">
      <c r="A12" s="1">
        <v>21</v>
      </c>
      <c r="B12" s="1" t="s">
        <v>675</v>
      </c>
      <c r="C12" s="2" t="s">
        <v>676</v>
      </c>
      <c r="D12" s="2">
        <v>0</v>
      </c>
      <c r="E12" s="2" t="str">
        <f t="shared" si="0"/>
        <v>Only Yellow</v>
      </c>
      <c r="F12" s="2"/>
      <c r="G12" s="2"/>
      <c r="H12" s="2"/>
      <c r="I12" s="2"/>
      <c r="J12" s="2" t="s">
        <v>747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1:31" x14ac:dyDescent="0.55000000000000004">
      <c r="A13" s="1">
        <v>23</v>
      </c>
      <c r="B13" s="1" t="s">
        <v>677</v>
      </c>
      <c r="C13" s="2" t="s">
        <v>678</v>
      </c>
      <c r="D13" s="2" t="s">
        <v>761</v>
      </c>
      <c r="E13" s="2" t="str">
        <f t="shared" si="0"/>
        <v/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1" x14ac:dyDescent="0.55000000000000004">
      <c r="A14" s="1">
        <v>25</v>
      </c>
      <c r="B14" s="1" t="s">
        <v>679</v>
      </c>
      <c r="C14" s="2" t="s">
        <v>680</v>
      </c>
      <c r="D14" s="2" t="s">
        <v>761</v>
      </c>
      <c r="E14" s="2" t="str">
        <f t="shared" si="0"/>
        <v>No Yellow</v>
      </c>
      <c r="F14" s="2"/>
      <c r="G14" s="2"/>
      <c r="H14" s="2"/>
      <c r="I14" s="2"/>
      <c r="J14" s="2" t="s">
        <v>748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</row>
    <row r="15" spans="1:31" x14ac:dyDescent="0.55000000000000004">
      <c r="A15" s="1">
        <v>27</v>
      </c>
      <c r="B15" s="1" t="s">
        <v>681</v>
      </c>
      <c r="C15" s="2" t="s">
        <v>682</v>
      </c>
      <c r="D15" s="2" t="s">
        <v>761</v>
      </c>
      <c r="E15" s="2" t="str">
        <f t="shared" si="0"/>
        <v>Only Green Only Yellow Only Kicks Except Wildswings Until Weapon has been retrieved</v>
      </c>
      <c r="F15" s="2"/>
      <c r="G15" s="2"/>
      <c r="H15" s="2"/>
      <c r="I15" s="2" t="s">
        <v>746</v>
      </c>
      <c r="J15" s="2" t="s">
        <v>747</v>
      </c>
      <c r="K15" s="2"/>
      <c r="L15" s="2"/>
      <c r="M15" s="2" t="s">
        <v>752</v>
      </c>
      <c r="N15" s="2"/>
      <c r="O15" s="2"/>
      <c r="P15" s="2"/>
      <c r="Q15" s="2" t="s">
        <v>755</v>
      </c>
      <c r="R15" s="2"/>
      <c r="S15" s="2" t="s">
        <v>756</v>
      </c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1" ht="102.9" x14ac:dyDescent="0.55000000000000004">
      <c r="A16" s="1">
        <v>29</v>
      </c>
      <c r="B16" s="1" t="s">
        <v>683</v>
      </c>
      <c r="C16" s="2" t="s">
        <v>684</v>
      </c>
      <c r="D16" s="2" t="s">
        <v>761</v>
      </c>
      <c r="E16" s="2" t="str">
        <f t="shared" si="0"/>
        <v>No Orange Add + 2 to any DownSwing Restore 1 Body Point</v>
      </c>
      <c r="F16" s="2"/>
      <c r="G16" s="2"/>
      <c r="H16" s="2"/>
      <c r="I16" s="2"/>
      <c r="J16" s="2"/>
      <c r="K16" s="2" t="s">
        <v>749</v>
      </c>
      <c r="L16" s="2"/>
      <c r="M16" s="2"/>
      <c r="N16" s="6" t="s">
        <v>753</v>
      </c>
      <c r="O16" s="2"/>
      <c r="P16" s="2"/>
      <c r="Q16" s="2"/>
      <c r="R16" s="2"/>
      <c r="S16" s="2"/>
      <c r="T16" s="2"/>
      <c r="U16" s="2"/>
      <c r="V16" s="2"/>
      <c r="W16" s="6" t="s">
        <v>760</v>
      </c>
      <c r="X16" s="2"/>
      <c r="Y16" s="2"/>
      <c r="Z16" s="2"/>
      <c r="AA16" s="2"/>
      <c r="AB16" s="2"/>
      <c r="AC16" s="2"/>
      <c r="AD16" s="2"/>
    </row>
    <row r="17" spans="1:30" x14ac:dyDescent="0.55000000000000004">
      <c r="A17" s="1">
        <v>31</v>
      </c>
      <c r="B17" s="1" t="s">
        <v>685</v>
      </c>
      <c r="C17" s="2" t="s">
        <v>686</v>
      </c>
      <c r="D17" s="2">
        <v>3</v>
      </c>
      <c r="E17" s="2" t="str">
        <f t="shared" si="0"/>
        <v>No Orange</v>
      </c>
      <c r="F17" s="2"/>
      <c r="G17" s="2"/>
      <c r="H17" s="2"/>
      <c r="I17" s="2"/>
      <c r="J17" s="2"/>
      <c r="K17" s="2" t="s">
        <v>749</v>
      </c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</row>
    <row r="18" spans="1:30" ht="102.9" x14ac:dyDescent="0.55000000000000004">
      <c r="A18" s="1">
        <v>33</v>
      </c>
      <c r="B18" s="1" t="s">
        <v>687</v>
      </c>
      <c r="C18" s="2" t="s">
        <v>688</v>
      </c>
      <c r="D18" s="2" t="s">
        <v>761</v>
      </c>
      <c r="E18" s="2" t="str">
        <f t="shared" si="0"/>
        <v>Add + 2 to any DownSwing Add + 2 to any SideSwing</v>
      </c>
      <c r="F18" s="2"/>
      <c r="G18" s="2"/>
      <c r="H18" s="2"/>
      <c r="I18" s="2"/>
      <c r="J18" s="2"/>
      <c r="K18" s="2"/>
      <c r="L18" s="2"/>
      <c r="M18" s="2"/>
      <c r="N18" s="6" t="s">
        <v>753</v>
      </c>
      <c r="O18" s="6" t="s">
        <v>754</v>
      </c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</row>
    <row r="19" spans="1:30" x14ac:dyDescent="0.55000000000000004">
      <c r="A19" s="1">
        <v>35</v>
      </c>
      <c r="B19" s="1" t="s">
        <v>689</v>
      </c>
      <c r="C19" s="2" t="s">
        <v>690</v>
      </c>
      <c r="D19" s="2">
        <v>4</v>
      </c>
      <c r="E19" s="2" t="str">
        <f t="shared" si="0"/>
        <v>Only Brown</v>
      </c>
      <c r="F19" s="2"/>
      <c r="G19" s="2"/>
      <c r="H19" s="2"/>
      <c r="I19" s="2"/>
      <c r="J19" s="2"/>
      <c r="K19" s="2"/>
      <c r="L19" s="2" t="s">
        <v>751</v>
      </c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</row>
    <row r="20" spans="1:30" ht="86.4" x14ac:dyDescent="0.55000000000000004">
      <c r="A20" s="1">
        <v>37</v>
      </c>
      <c r="B20" s="1" t="s">
        <v>691</v>
      </c>
      <c r="C20" s="2" t="s">
        <v>692</v>
      </c>
      <c r="D20" s="2" t="s">
        <v>761</v>
      </c>
      <c r="E20" s="2" t="str">
        <f t="shared" si="0"/>
        <v>No Blue Add + 2 to any Orange</v>
      </c>
      <c r="F20" s="2"/>
      <c r="G20" s="2"/>
      <c r="H20" s="2" t="s">
        <v>745</v>
      </c>
      <c r="I20" s="2"/>
      <c r="J20" s="2"/>
      <c r="K20" s="6" t="s">
        <v>750</v>
      </c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1:30" x14ac:dyDescent="0.55000000000000004">
      <c r="A21" s="1">
        <v>39</v>
      </c>
      <c r="B21" s="1" t="s">
        <v>693</v>
      </c>
      <c r="C21" s="2" t="s">
        <v>694</v>
      </c>
      <c r="D21" s="2" t="s">
        <v>761</v>
      </c>
      <c r="E21" s="2" t="str">
        <f t="shared" si="0"/>
        <v>No Yellow</v>
      </c>
      <c r="F21" s="2"/>
      <c r="G21" s="2"/>
      <c r="H21" s="2"/>
      <c r="I21" s="2"/>
      <c r="J21" s="2" t="s">
        <v>748</v>
      </c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</row>
    <row r="22" spans="1:30" x14ac:dyDescent="0.55000000000000004">
      <c r="A22" s="1">
        <v>41</v>
      </c>
      <c r="B22" s="1" t="s">
        <v>695</v>
      </c>
      <c r="C22" s="2" t="s">
        <v>696</v>
      </c>
      <c r="D22" s="2">
        <v>0</v>
      </c>
      <c r="E22" s="2" t="str">
        <f t="shared" si="0"/>
        <v>Only Yellow No Orange</v>
      </c>
      <c r="F22" s="2"/>
      <c r="G22" s="2"/>
      <c r="H22" s="2"/>
      <c r="I22" s="2"/>
      <c r="J22" s="2" t="s">
        <v>747</v>
      </c>
      <c r="K22" s="2" t="s">
        <v>749</v>
      </c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</row>
    <row r="23" spans="1:30" x14ac:dyDescent="0.55000000000000004">
      <c r="A23" s="1">
        <v>43</v>
      </c>
      <c r="B23" s="1" t="s">
        <v>697</v>
      </c>
      <c r="C23" s="2" t="s">
        <v>698</v>
      </c>
      <c r="D23" s="2" t="s">
        <v>761</v>
      </c>
      <c r="E23" s="2" t="str">
        <f t="shared" si="0"/>
        <v>X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 t="s">
        <v>699</v>
      </c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</row>
    <row r="24" spans="1:30" x14ac:dyDescent="0.55000000000000004">
      <c r="A24" s="1">
        <v>45</v>
      </c>
      <c r="B24" s="1" t="s">
        <v>700</v>
      </c>
      <c r="C24" s="2" t="s">
        <v>701</v>
      </c>
      <c r="D24" s="2">
        <v>-4</v>
      </c>
      <c r="E24" s="2" t="str">
        <f t="shared" si="0"/>
        <v/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1:30" x14ac:dyDescent="0.55000000000000004">
      <c r="A25" s="1">
        <v>47</v>
      </c>
      <c r="B25" s="1" t="s">
        <v>702</v>
      </c>
      <c r="C25" s="2" t="s">
        <v>703</v>
      </c>
      <c r="D25" s="2">
        <v>4</v>
      </c>
      <c r="E25" s="2" t="str">
        <f t="shared" si="0"/>
        <v>Only Brown</v>
      </c>
      <c r="F25" s="2"/>
      <c r="G25" s="2"/>
      <c r="H25" s="2"/>
      <c r="I25" s="2"/>
      <c r="J25" s="2"/>
      <c r="K25" s="2"/>
      <c r="L25" s="2" t="s">
        <v>751</v>
      </c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x14ac:dyDescent="0.55000000000000004">
      <c r="A26" s="1">
        <v>49</v>
      </c>
      <c r="B26" s="1" t="s">
        <v>704</v>
      </c>
      <c r="C26" s="2" t="s">
        <v>705</v>
      </c>
      <c r="D26" s="2">
        <v>-4</v>
      </c>
      <c r="E26" s="2" t="str">
        <f t="shared" si="0"/>
        <v/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x14ac:dyDescent="0.55000000000000004">
      <c r="A27" s="1">
        <v>51</v>
      </c>
      <c r="B27" s="1" t="s">
        <v>706</v>
      </c>
      <c r="C27" s="2" t="s">
        <v>707</v>
      </c>
      <c r="D27" s="2">
        <v>0</v>
      </c>
      <c r="E27" s="2" t="str">
        <f t="shared" si="0"/>
        <v>Only Green Only Yellow</v>
      </c>
      <c r="F27" s="2"/>
      <c r="G27" s="2"/>
      <c r="H27" s="2"/>
      <c r="I27" s="2" t="s">
        <v>746</v>
      </c>
      <c r="J27" s="2" t="s">
        <v>747</v>
      </c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x14ac:dyDescent="0.55000000000000004">
      <c r="A28" s="1">
        <v>53</v>
      </c>
      <c r="B28" s="1" t="s">
        <v>708</v>
      </c>
      <c r="C28" s="2" t="s">
        <v>709</v>
      </c>
      <c r="D28" s="2">
        <v>5</v>
      </c>
      <c r="E28" s="2" t="str">
        <f t="shared" si="0"/>
        <v>No Red No Orange</v>
      </c>
      <c r="F28" s="2"/>
      <c r="G28" s="2" t="s">
        <v>744</v>
      </c>
      <c r="H28" s="2"/>
      <c r="I28" s="2"/>
      <c r="J28" s="2"/>
      <c r="K28" s="2" t="s">
        <v>749</v>
      </c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1:30" x14ac:dyDescent="0.55000000000000004">
      <c r="A29" s="1">
        <v>55</v>
      </c>
      <c r="B29" s="1" t="s">
        <v>710</v>
      </c>
      <c r="C29" s="2" t="s">
        <v>711</v>
      </c>
      <c r="D29" s="2">
        <v>0</v>
      </c>
      <c r="E29" s="2" t="str">
        <f t="shared" si="0"/>
        <v>No Blocks for the rest of the game No Protected Attacks for the rest of the game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 t="s">
        <v>757</v>
      </c>
      <c r="U29" s="2" t="s">
        <v>758</v>
      </c>
      <c r="V29" s="2"/>
      <c r="W29" s="2"/>
      <c r="X29" s="2"/>
      <c r="Y29" s="2"/>
      <c r="Z29" s="2"/>
      <c r="AA29" s="2"/>
      <c r="AB29" s="2"/>
      <c r="AC29" s="2"/>
      <c r="AD29" s="2"/>
    </row>
    <row r="30" spans="1:30" ht="83.7" x14ac:dyDescent="0.55000000000000004">
      <c r="A30" s="1">
        <v>57</v>
      </c>
      <c r="B30" s="1" t="s">
        <v>712</v>
      </c>
      <c r="C30" s="2" t="s">
        <v>713</v>
      </c>
      <c r="D30" s="2" t="s">
        <v>761</v>
      </c>
      <c r="E30" s="2" t="str">
        <f t="shared" si="0"/>
        <v>Only Extended Range</v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6" t="s">
        <v>759</v>
      </c>
      <c r="W30" s="2"/>
      <c r="X30" s="2"/>
      <c r="Y30" s="2"/>
      <c r="Z30" s="2"/>
      <c r="AA30" s="2"/>
      <c r="AB30" s="2"/>
      <c r="AC30" s="2"/>
      <c r="AD30" s="2"/>
    </row>
    <row r="31" spans="1:30" x14ac:dyDescent="0.55000000000000004">
      <c r="A31" s="1">
        <v>59</v>
      </c>
      <c r="B31" s="1" t="s">
        <v>714</v>
      </c>
      <c r="C31" s="2" t="s">
        <v>715</v>
      </c>
      <c r="D31" s="2">
        <v>0</v>
      </c>
      <c r="E31" s="2" t="str">
        <f t="shared" si="0"/>
        <v>Only Green Only Yellow</v>
      </c>
      <c r="F31" s="2"/>
      <c r="G31" s="2"/>
      <c r="H31" s="2"/>
      <c r="I31" s="2" t="s">
        <v>746</v>
      </c>
      <c r="J31" s="2" t="s">
        <v>747</v>
      </c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83.7" x14ac:dyDescent="0.55000000000000004">
      <c r="A32" s="1">
        <v>61</v>
      </c>
      <c r="B32" s="1" t="s">
        <v>716</v>
      </c>
      <c r="C32" s="2" t="s">
        <v>717</v>
      </c>
      <c r="D32" s="2" t="s">
        <v>761</v>
      </c>
      <c r="E32" s="2" t="str">
        <f t="shared" si="0"/>
        <v>Only Extended Range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6" t="s">
        <v>759</v>
      </c>
      <c r="W32" s="2"/>
      <c r="X32" s="2"/>
      <c r="Y32" s="2"/>
      <c r="Z32" s="2"/>
      <c r="AA32" s="2"/>
      <c r="AB32" s="2"/>
      <c r="AC32" s="2"/>
      <c r="AD32" s="2"/>
    </row>
    <row r="33" spans="1:29" x14ac:dyDescent="0.55000000000000004">
      <c r="A33" s="1">
        <v>63</v>
      </c>
      <c r="B33" s="1" t="s">
        <v>671</v>
      </c>
      <c r="C33" s="2" t="s">
        <v>718</v>
      </c>
      <c r="D33" s="2">
        <v>-4</v>
      </c>
      <c r="E33" s="2" t="str">
        <f t="shared" si="0"/>
        <v>No Orange</v>
      </c>
      <c r="F33" s="2"/>
      <c r="G33" s="2"/>
      <c r="H33" s="2"/>
      <c r="I33" s="2"/>
      <c r="J33" s="2"/>
      <c r="K33" s="2" t="s">
        <v>749</v>
      </c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</row>
    <row r="34" spans="1:29" x14ac:dyDescent="0.55000000000000004">
      <c r="D34" s="2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Jung, Achim</dc:creator>
  <cp:lastModifiedBy>Jung, Achim</cp:lastModifiedBy>
  <dcterms:created xsi:type="dcterms:W3CDTF">2025-04-24T08:29:42Z</dcterms:created>
  <dcterms:modified xsi:type="dcterms:W3CDTF">2025-04-24T15:22:06Z</dcterms:modified>
</cp:coreProperties>
</file>